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/Downloads/"/>
    </mc:Choice>
  </mc:AlternateContent>
  <xr:revisionPtr revIDLastSave="0" documentId="13_ncr:1_{DCE07A2E-3E2B-164C-AF39-2F238F09C49F}" xr6:coauthVersionLast="47" xr6:coauthVersionMax="47" xr10:uidLastSave="{00000000-0000-0000-0000-000000000000}"/>
  <bookViews>
    <workbookView xWindow="28520" yWindow="15860" windowWidth="32720" windowHeight="17260" tabRatio="500" xr2:uid="{00000000-000D-0000-FFFF-FFFF00000000}"/>
  </bookViews>
  <sheets>
    <sheet name="1_일정개요" sheetId="1" r:id="rId1"/>
    <sheet name="2_WBS" sheetId="2" r:id="rId2"/>
    <sheet name="3_팀원별_집계" sheetId="3" r:id="rId3"/>
    <sheet name="4_리스크_관리" sheetId="4" r:id="rId4"/>
    <sheet name="5_협업_규칙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D18" i="3" s="1"/>
  <c r="B18" i="3"/>
  <c r="C17" i="3"/>
  <c r="B17" i="3"/>
  <c r="D17" i="3" s="1"/>
  <c r="C16" i="3"/>
  <c r="D16" i="3" s="1"/>
  <c r="B16" i="3"/>
  <c r="C15" i="3"/>
  <c r="D15" i="3" s="1"/>
  <c r="B15" i="3"/>
  <c r="C14" i="3"/>
  <c r="D14" i="3" s="1"/>
  <c r="B14" i="3"/>
  <c r="D8" i="3"/>
  <c r="E8" i="3" s="1"/>
  <c r="C8" i="3"/>
  <c r="D7" i="3"/>
  <c r="E7" i="3" s="1"/>
  <c r="C7" i="3"/>
  <c r="D6" i="3"/>
  <c r="E6" i="3" s="1"/>
  <c r="C6" i="3"/>
  <c r="D5" i="3"/>
  <c r="C5" i="3"/>
  <c r="C9" i="3" s="1"/>
  <c r="D9" i="3" l="1"/>
  <c r="E9" i="3" s="1"/>
  <c r="E5" i="3"/>
</calcChain>
</file>

<file path=xl/sharedStrings.xml><?xml version="1.0" encoding="utf-8"?>
<sst xmlns="http://schemas.openxmlformats.org/spreadsheetml/2006/main" count="423" uniqueCount="269">
  <si>
    <r>
      <rPr>
        <b/>
        <sz val="20"/>
        <color rgb="FF7C3AED"/>
        <rFont val="맑은 고딕"/>
        <family val="2"/>
        <charset val="129"/>
      </rPr>
      <t xml:space="preserve">WBS </t>
    </r>
    <r>
      <rPr>
        <b/>
        <sz val="20"/>
        <color rgb="FF7C3AED"/>
        <rFont val="Noto Sans CJK SC"/>
        <family val="2"/>
      </rPr>
      <t>및 작업 계획서 — 일정 개요</t>
    </r>
  </si>
  <si>
    <r>
      <rPr>
        <sz val="11"/>
        <color rgb="FF4A4540"/>
        <rFont val="맑은 고딕"/>
        <family val="2"/>
        <charset val="129"/>
      </rPr>
      <t xml:space="preserve">SW </t>
    </r>
    <r>
      <rPr>
        <sz val="11"/>
        <color rgb="FF4A4540"/>
        <rFont val="Noto Sans CJK SC"/>
        <family val="2"/>
      </rPr>
      <t xml:space="preserve">프레임워크 </t>
    </r>
    <r>
      <rPr>
        <sz val="11"/>
        <color rgb="FF4A4540"/>
        <rFont val="맑은 고딕"/>
        <family val="2"/>
        <charset val="129"/>
      </rPr>
      <t xml:space="preserve">· Week 11 </t>
    </r>
    <r>
      <rPr>
        <sz val="11"/>
        <color rgb="FF4A4540"/>
        <rFont val="Noto Sans CJK SC"/>
        <family val="2"/>
      </rPr>
      <t xml:space="preserve">과제 </t>
    </r>
    <r>
      <rPr>
        <sz val="11"/>
        <color rgb="FF4A4540"/>
        <rFont val="맑은 고딕"/>
        <family val="2"/>
        <charset val="129"/>
      </rPr>
      <t xml:space="preserve">· </t>
    </r>
    <r>
      <rPr>
        <sz val="11"/>
        <color rgb="FF4A4540"/>
        <rFont val="Noto Sans CJK SC"/>
        <family val="2"/>
      </rPr>
      <t>간트차트 형식</t>
    </r>
  </si>
  <si>
    <r>
      <rPr>
        <sz val="10"/>
        <color rgb="FF4A4540"/>
        <rFont val="Noto Sans CJK SC"/>
        <family val="2"/>
      </rPr>
      <t xml:space="preserve">한국공학대학교 </t>
    </r>
    <r>
      <rPr>
        <sz val="10"/>
        <color rgb="FF4A4540"/>
        <rFont val="맑은 고딕"/>
        <family val="2"/>
        <charset val="129"/>
      </rPr>
      <t>IT</t>
    </r>
    <r>
      <rPr>
        <sz val="10"/>
        <color rgb="FF4A4540"/>
        <rFont val="Noto Sans CJK SC"/>
        <family val="2"/>
      </rPr>
      <t xml:space="preserve">경영전공 </t>
    </r>
    <r>
      <rPr>
        <sz val="10"/>
        <color rgb="FF4A4540"/>
        <rFont val="맑은 고딕"/>
        <family val="2"/>
        <charset val="129"/>
      </rPr>
      <t>| 2026</t>
    </r>
    <r>
      <rPr>
        <sz val="10"/>
        <color rgb="FF4A4540"/>
        <rFont val="Noto Sans CJK SC"/>
        <family val="2"/>
      </rPr>
      <t xml:space="preserve">학년도 </t>
    </r>
    <r>
      <rPr>
        <sz val="10"/>
        <color rgb="FF4A4540"/>
        <rFont val="맑은 고딕"/>
        <family val="2"/>
        <charset val="129"/>
      </rPr>
      <t>1</t>
    </r>
    <r>
      <rPr>
        <sz val="10"/>
        <color rgb="FF4A4540"/>
        <rFont val="Noto Sans CJK SC"/>
        <family val="2"/>
      </rPr>
      <t>학기</t>
    </r>
  </si>
  <si>
    <t>프로젝트 정보</t>
  </si>
  <si>
    <t>프로젝트명</t>
  </si>
  <si>
    <r>
      <rPr>
        <sz val="11"/>
        <color rgb="FF1E1E1E"/>
        <rFont val="맑은 고딕"/>
        <family val="2"/>
        <charset val="129"/>
      </rPr>
      <t>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 xml:space="preserve">] </t>
    </r>
    <r>
      <rPr>
        <sz val="11"/>
        <color rgb="FF1E1E1E"/>
        <rFont val="Noto Sans CJK SC"/>
        <family val="2"/>
      </rPr>
      <t xml:space="preserve">대학생 스터디 관리 시스템 — </t>
    </r>
    <r>
      <rPr>
        <sz val="11"/>
        <color rgb="FF1E1E1E"/>
        <rFont val="맑은 고딕"/>
        <family val="2"/>
        <charset val="129"/>
      </rPr>
      <t>StudyMate</t>
    </r>
  </si>
  <si>
    <r>
      <rPr>
        <b/>
        <sz val="11"/>
        <color rgb="FF1E1E1E"/>
        <rFont val="Noto Sans CJK SC"/>
        <family val="2"/>
      </rPr>
      <t xml:space="preserve">팀명 </t>
    </r>
    <r>
      <rPr>
        <b/>
        <sz val="11"/>
        <color rgb="FF1E1E1E"/>
        <rFont val="맑은 고딕"/>
        <family val="2"/>
        <charset val="129"/>
      </rPr>
      <t xml:space="preserve">/ </t>
    </r>
    <r>
      <rPr>
        <b/>
        <sz val="11"/>
        <color rgb="FF1E1E1E"/>
        <rFont val="Noto Sans CJK SC"/>
        <family val="2"/>
      </rPr>
      <t>팀장</t>
    </r>
  </si>
  <si>
    <r>
      <rPr>
        <sz val="11"/>
        <color rgb="FF1E1E1E"/>
        <rFont val="맑은 고딕"/>
        <family val="2"/>
        <charset val="129"/>
      </rPr>
      <t>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 xml:space="preserve">] Framework Masters / </t>
    </r>
    <r>
      <rPr>
        <sz val="11"/>
        <color rgb="FF1E1E1E"/>
        <rFont val="Noto Sans CJK SC"/>
        <family val="2"/>
      </rPr>
      <t>홍길동</t>
    </r>
  </si>
  <si>
    <t>팀원</t>
  </si>
  <si>
    <r>
      <rPr>
        <sz val="11"/>
        <color rgb="FF1E1E1E"/>
        <rFont val="맑은 고딕"/>
        <family val="2"/>
        <charset val="129"/>
      </rPr>
      <t>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 xml:space="preserve">] </t>
    </r>
    <r>
      <rPr>
        <sz val="11"/>
        <color rgb="FF1E1E1E"/>
        <rFont val="Noto Sans CJK SC"/>
        <family val="2"/>
      </rPr>
      <t>홍길동</t>
    </r>
    <r>
      <rPr>
        <sz val="11"/>
        <color rgb="FF1E1E1E"/>
        <rFont val="맑은 고딕"/>
        <family val="2"/>
        <charset val="129"/>
      </rPr>
      <t>(</t>
    </r>
    <r>
      <rPr>
        <sz val="11"/>
        <color rgb="FF1E1E1E"/>
        <rFont val="Noto Sans CJK SC"/>
        <family val="2"/>
      </rPr>
      <t>팀장</t>
    </r>
    <r>
      <rPr>
        <sz val="11"/>
        <color rgb="FF1E1E1E"/>
        <rFont val="맑은 고딕"/>
        <family val="2"/>
        <charset val="129"/>
      </rPr>
      <t xml:space="preserve">) · </t>
    </r>
    <r>
      <rPr>
        <sz val="11"/>
        <color rgb="FF1E1E1E"/>
        <rFont val="Noto Sans CJK SC"/>
        <family val="2"/>
      </rPr>
      <t xml:space="preserve">김영희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이철수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박민지</t>
    </r>
    <r>
      <rPr>
        <sz val="11"/>
        <color rgb="FF1E1E1E"/>
        <rFont val="맑은 고딕"/>
        <family val="2"/>
        <charset val="129"/>
      </rPr>
      <t>(</t>
    </r>
    <r>
      <rPr>
        <sz val="11"/>
        <color rgb="FF1E1E1E"/>
        <rFont val="Noto Sans CJK SC"/>
        <family val="2"/>
      </rPr>
      <t>발표자</t>
    </r>
    <r>
      <rPr>
        <sz val="11"/>
        <color rgb="FF1E1E1E"/>
        <rFont val="맑은 고딕"/>
        <family val="2"/>
        <charset val="129"/>
      </rPr>
      <t>)</t>
    </r>
  </si>
  <si>
    <t>기술 스택</t>
  </si>
  <si>
    <t>Spring Boot 3.5.x · Java 21 · MyBatis · MySQL · Thymeleaf</t>
  </si>
  <si>
    <r>
      <rPr>
        <b/>
        <sz val="11"/>
        <color rgb="FF1E1E1E"/>
        <rFont val="맑은 고딕"/>
        <family val="2"/>
        <charset val="129"/>
      </rPr>
      <t xml:space="preserve">GitHub </t>
    </r>
    <r>
      <rPr>
        <b/>
        <sz val="11"/>
        <color rgb="FF1E1E1E"/>
        <rFont val="Noto Sans CJK SC"/>
        <family val="2"/>
      </rPr>
      <t>저장소</t>
    </r>
  </si>
  <si>
    <r>
      <rPr>
        <sz val="11"/>
        <color rgb="FF1E1E1E"/>
        <rFont val="맑은 고딕"/>
        <family val="2"/>
        <charset val="129"/>
      </rPr>
      <t>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>] https://github.com/team1/studymate</t>
    </r>
  </si>
  <si>
    <t>프로젝트 시작일</t>
  </si>
  <si>
    <r>
      <rPr>
        <sz val="11"/>
        <color rgb="FF1E1E1E"/>
        <rFont val="맑은 고딕"/>
        <family val="2"/>
        <charset val="129"/>
      </rPr>
      <t xml:space="preserve">2026-05-04 (W09 </t>
    </r>
    <r>
      <rPr>
        <sz val="11"/>
        <color rgb="FF1E1E1E"/>
        <rFont val="Noto Sans CJK SC"/>
        <family val="2"/>
      </rPr>
      <t>월요일</t>
    </r>
    <r>
      <rPr>
        <sz val="11"/>
        <color rgb="FF1E1E1E"/>
        <rFont val="맑은 고딕"/>
        <family val="2"/>
        <charset val="129"/>
      </rPr>
      <t xml:space="preserve">) · 5/1 </t>
    </r>
    <r>
      <rPr>
        <sz val="11"/>
        <color rgb="FF1E1E1E"/>
        <rFont val="Noto Sans CJK SC"/>
        <family val="2"/>
      </rPr>
      <t>근로자의 날 휴무 반영</t>
    </r>
  </si>
  <si>
    <t>프로젝트 종료일</t>
  </si>
  <si>
    <r>
      <rPr>
        <sz val="11"/>
        <color rgb="FF1E1E1E"/>
        <rFont val="맑은 고딕"/>
        <family val="2"/>
        <charset val="129"/>
      </rPr>
      <t xml:space="preserve">2026-06-21 (W15 </t>
    </r>
    <r>
      <rPr>
        <sz val="11"/>
        <color rgb="FF1E1E1E"/>
        <rFont val="Noto Sans CJK SC"/>
        <family val="2"/>
      </rPr>
      <t>일요일</t>
    </r>
    <r>
      <rPr>
        <sz val="11"/>
        <color rgb="FF1E1E1E"/>
        <rFont val="맑은 고딕"/>
        <family val="2"/>
        <charset val="129"/>
      </rPr>
      <t>)</t>
    </r>
  </si>
  <si>
    <t>개발 기간</t>
  </si>
  <si>
    <r>
      <rPr>
        <sz val="11"/>
        <color rgb="FF1E1E1E"/>
        <rFont val="맑은 고딕"/>
        <family val="2"/>
        <charset val="129"/>
      </rPr>
      <t>7</t>
    </r>
    <r>
      <rPr>
        <sz val="11"/>
        <color rgb="FF1E1E1E"/>
        <rFont val="Noto Sans CJK SC"/>
        <family val="2"/>
      </rPr>
      <t xml:space="preserve">주 </t>
    </r>
    <r>
      <rPr>
        <sz val="11"/>
        <color rgb="FF1E1E1E"/>
        <rFont val="맑은 고딕"/>
        <family val="2"/>
        <charset val="129"/>
      </rPr>
      <t xml:space="preserve">(W09~W15) · </t>
    </r>
    <r>
      <rPr>
        <sz val="11"/>
        <color rgb="FF1E1E1E"/>
        <rFont val="Noto Sans CJK SC"/>
        <family val="2"/>
      </rPr>
      <t>금요일 수업 기준</t>
    </r>
  </si>
  <si>
    <t>주차별 마일스톤</t>
  </si>
  <si>
    <t>주차</t>
  </si>
  <si>
    <t>기간</t>
  </si>
  <si>
    <t>마일스톤</t>
  </si>
  <si>
    <t>주요 산출물</t>
  </si>
  <si>
    <t>담당</t>
  </si>
  <si>
    <t>완료 여부</t>
  </si>
  <si>
    <t>W11</t>
  </si>
  <si>
    <t>~ 5/24</t>
  </si>
  <si>
    <r>
      <rPr>
        <b/>
        <sz val="11"/>
        <color rgb="FF7C3AED"/>
        <rFont val="맑은 고딕"/>
        <family val="2"/>
        <charset val="129"/>
      </rPr>
      <t xml:space="preserve">Service </t>
    </r>
    <r>
      <rPr>
        <b/>
        <sz val="11"/>
        <color rgb="FF7C3AED"/>
        <rFont val="Noto Sans CJK SC"/>
        <family val="2"/>
      </rPr>
      <t>완성</t>
    </r>
  </si>
  <si>
    <r>
      <rPr>
        <sz val="11"/>
        <color rgb="FF1E1E1E"/>
        <rFont val="Noto Sans CJK SC"/>
        <family val="2"/>
      </rPr>
      <t xml:space="preserve">페이징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검색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유효성 검증</t>
    </r>
  </si>
  <si>
    <t>전원</t>
  </si>
  <si>
    <t>계획</t>
  </si>
  <si>
    <t>W12</t>
  </si>
  <si>
    <t>~ 5/31</t>
  </si>
  <si>
    <r>
      <rPr>
        <b/>
        <sz val="11"/>
        <color rgb="FF7C3AED"/>
        <rFont val="맑은 고딕"/>
        <family val="2"/>
        <charset val="129"/>
      </rPr>
      <t xml:space="preserve">MVP </t>
    </r>
    <r>
      <rPr>
        <b/>
        <sz val="11"/>
        <color rgb="FF7C3AED"/>
        <rFont val="Noto Sans CJK SC"/>
        <family val="2"/>
      </rPr>
      <t xml:space="preserve">완성 </t>
    </r>
    <r>
      <rPr>
        <b/>
        <sz val="11"/>
        <color rgb="FF7C3AED"/>
        <rFont val="맑은 고딕"/>
        <family val="2"/>
        <charset val="129"/>
      </rPr>
      <t>(</t>
    </r>
    <r>
      <rPr>
        <b/>
        <sz val="11"/>
        <color rgb="FF7C3AED"/>
        <rFont val="Noto Sans CJK SC"/>
        <family val="2"/>
      </rPr>
      <t>선택</t>
    </r>
    <r>
      <rPr>
        <b/>
        <sz val="11"/>
        <color rgb="FF7C3AED"/>
        <rFont val="맑은 고딕"/>
        <family val="2"/>
        <charset val="129"/>
      </rPr>
      <t>: Docker)</t>
    </r>
  </si>
  <si>
    <r>
      <rPr>
        <sz val="11"/>
        <color rgb="FF1E1E1E"/>
        <rFont val="맑은 고딕"/>
        <family val="2"/>
        <charset val="129"/>
      </rPr>
      <t xml:space="preserve">Must </t>
    </r>
    <r>
      <rPr>
        <sz val="11"/>
        <color rgb="FF1E1E1E"/>
        <rFont val="Noto Sans CJK SC"/>
        <family val="2"/>
      </rPr>
      <t>기능 전체 동작</t>
    </r>
  </si>
  <si>
    <t>W13</t>
  </si>
  <si>
    <t>~ 6/07</t>
  </si>
  <si>
    <r>
      <rPr>
        <b/>
        <sz val="11"/>
        <color rgb="FF7C3AED"/>
        <rFont val="맑은 고딕"/>
        <family val="2"/>
        <charset val="129"/>
      </rPr>
      <t xml:space="preserve">Should </t>
    </r>
    <r>
      <rPr>
        <b/>
        <sz val="11"/>
        <color rgb="FF7C3AED"/>
        <rFont val="Noto Sans CJK SC"/>
        <family val="2"/>
      </rPr>
      <t>기능 추가</t>
    </r>
  </si>
  <si>
    <r>
      <rPr>
        <sz val="11"/>
        <color rgb="FF1E1E1E"/>
        <rFont val="Noto Sans CJK SC"/>
        <family val="2"/>
      </rPr>
      <t xml:space="preserve">검색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페이징 </t>
    </r>
    <r>
      <rPr>
        <sz val="11"/>
        <color rgb="FF1E1E1E"/>
        <rFont val="맑은 고딕"/>
        <family val="2"/>
        <charset val="129"/>
      </rPr>
      <t xml:space="preserve">· Could </t>
    </r>
    <r>
      <rPr>
        <sz val="11"/>
        <color rgb="FF1E1E1E"/>
        <rFont val="Noto Sans CJK SC"/>
        <family val="2"/>
      </rPr>
      <t>기능</t>
    </r>
  </si>
  <si>
    <t>W14</t>
  </si>
  <si>
    <t>~ 6/14</t>
  </si>
  <si>
    <t>중간 발표</t>
  </si>
  <si>
    <r>
      <rPr>
        <sz val="11"/>
        <color rgb="FF1E1E1E"/>
        <rFont val="Noto Sans CJK SC"/>
        <family val="2"/>
      </rPr>
      <t xml:space="preserve">진행 상황 </t>
    </r>
    <r>
      <rPr>
        <sz val="11"/>
        <color rgb="FF1E1E1E"/>
        <rFont val="맑은 고딕"/>
        <family val="2"/>
        <charset val="129"/>
      </rPr>
      <t xml:space="preserve">+ </t>
    </r>
    <r>
      <rPr>
        <sz val="11"/>
        <color rgb="FF1E1E1E"/>
        <rFont val="Noto Sans CJK SC"/>
        <family val="2"/>
      </rPr>
      <t>라이브 데모</t>
    </r>
  </si>
  <si>
    <t>박민지</t>
  </si>
  <si>
    <t>W15</t>
  </si>
  <si>
    <t>~ 6/21</t>
  </si>
  <si>
    <t>최종 발표 ★</t>
  </si>
  <si>
    <r>
      <rPr>
        <sz val="11"/>
        <color rgb="FF1E1E1E"/>
        <rFont val="Noto Sans CJK SC"/>
        <family val="2"/>
      </rPr>
      <t xml:space="preserve">발표자료 </t>
    </r>
    <r>
      <rPr>
        <sz val="11"/>
        <color rgb="FF1E1E1E"/>
        <rFont val="맑은 고딕"/>
        <family val="2"/>
        <charset val="129"/>
      </rPr>
      <t xml:space="preserve">+ </t>
    </r>
    <r>
      <rPr>
        <sz val="11"/>
        <color rgb="FF1E1E1E"/>
        <rFont val="Noto Sans CJK SC"/>
        <family val="2"/>
      </rPr>
      <t>시연</t>
    </r>
  </si>
  <si>
    <r>
      <rPr>
        <i/>
        <sz val="10"/>
        <color rgb="FF4A4540"/>
        <rFont val="맑은 고딕"/>
        <family val="2"/>
        <charset val="129"/>
      </rPr>
      <t xml:space="preserve">💡 '2_WBS' </t>
    </r>
    <r>
      <rPr>
        <i/>
        <sz val="10"/>
        <color rgb="FF4A4540"/>
        <rFont val="Noto Sans CJK SC"/>
        <family val="2"/>
      </rPr>
      <t>시트</t>
    </r>
    <r>
      <rPr>
        <i/>
        <sz val="10"/>
        <color rgb="FF4A4540"/>
        <rFont val="맑은 고딕"/>
        <family val="2"/>
        <charset val="129"/>
      </rPr>
      <t xml:space="preserve">: </t>
    </r>
    <r>
      <rPr>
        <i/>
        <sz val="10"/>
        <color rgb="FF4A4540"/>
        <rFont val="Noto Sans CJK SC"/>
        <family val="2"/>
      </rPr>
      <t xml:space="preserve">간트차트 달력 </t>
    </r>
    <r>
      <rPr>
        <i/>
        <sz val="10"/>
        <color rgb="FF4A4540"/>
        <rFont val="맑은 고딕"/>
        <family val="2"/>
        <charset val="129"/>
      </rPr>
      <t xml:space="preserve">· </t>
    </r>
    <r>
      <rPr>
        <i/>
        <sz val="10"/>
        <color rgb="FF4A4540"/>
        <rFont val="Noto Sans CJK SC"/>
        <family val="2"/>
      </rPr>
      <t xml:space="preserve">작업 바 자동 표시 </t>
    </r>
    <r>
      <rPr>
        <i/>
        <sz val="10"/>
        <color rgb="FF4A4540"/>
        <rFont val="맑은 고딕"/>
        <family val="2"/>
        <charset val="129"/>
      </rPr>
      <t xml:space="preserve">· </t>
    </r>
    <r>
      <rPr>
        <i/>
        <sz val="10"/>
        <color rgb="FF4A4540"/>
        <rFont val="Noto Sans CJK SC"/>
        <family val="2"/>
      </rPr>
      <t>상태 업데이트하면 컬러 변경</t>
    </r>
  </si>
  <si>
    <r>
      <rPr>
        <b/>
        <sz val="18"/>
        <color rgb="FF7C3AED"/>
        <rFont val="맑은 고딕"/>
        <family val="2"/>
        <charset val="129"/>
      </rPr>
      <t xml:space="preserve">WBS — </t>
    </r>
    <r>
      <rPr>
        <b/>
        <sz val="18"/>
        <color rgb="FF7C3AED"/>
        <rFont val="Noto Sans CJK SC"/>
        <family val="2"/>
      </rPr>
      <t xml:space="preserve">간트차트 </t>
    </r>
    <r>
      <rPr>
        <b/>
        <sz val="18"/>
        <color rgb="FF7C3AED"/>
        <rFont val="맑은 고딕"/>
        <family val="2"/>
        <charset val="129"/>
      </rPr>
      <t>(Work Breakdown Structure · Gantt Chart)</t>
    </r>
  </si>
  <si>
    <r>
      <rPr>
        <i/>
        <sz val="9"/>
        <color rgb="FF4A4540"/>
        <rFont val="맑은 고딕"/>
        <family val="2"/>
        <charset val="129"/>
      </rPr>
      <t>※ [</t>
    </r>
    <r>
      <rPr>
        <i/>
        <sz val="9"/>
        <color rgb="FF4A4540"/>
        <rFont val="Noto Sans CJK SC"/>
        <family val="2"/>
      </rPr>
      <t>예시</t>
    </r>
    <r>
      <rPr>
        <i/>
        <sz val="9"/>
        <color rgb="FF4A4540"/>
        <rFont val="맑은 고딕"/>
        <family val="2"/>
        <charset val="129"/>
      </rPr>
      <t xml:space="preserve">] </t>
    </r>
    <r>
      <rPr>
        <i/>
        <sz val="9"/>
        <color rgb="FF4A4540"/>
        <rFont val="Noto Sans CJK SC"/>
        <family val="2"/>
      </rPr>
      <t xml:space="preserve">행을 팀 작업으로 교체 </t>
    </r>
    <r>
      <rPr>
        <i/>
        <sz val="9"/>
        <color rgb="FF4A4540"/>
        <rFont val="맑은 고딕"/>
        <family val="2"/>
        <charset val="129"/>
      </rPr>
      <t xml:space="preserve">· </t>
    </r>
    <r>
      <rPr>
        <i/>
        <sz val="9"/>
        <color rgb="FF4A4540"/>
        <rFont val="Noto Sans CJK SC"/>
        <family val="2"/>
      </rPr>
      <t>시작일</t>
    </r>
    <r>
      <rPr>
        <i/>
        <sz val="9"/>
        <color rgb="FF4A4540"/>
        <rFont val="맑은 고딕"/>
        <family val="2"/>
        <charset val="129"/>
      </rPr>
      <t>/</t>
    </r>
    <r>
      <rPr>
        <i/>
        <sz val="9"/>
        <color rgb="FF4A4540"/>
        <rFont val="Noto Sans CJK SC"/>
        <family val="2"/>
      </rPr>
      <t xml:space="preserve">종료일 입력 시 간트 바 자동 표시 </t>
    </r>
    <r>
      <rPr>
        <i/>
        <sz val="9"/>
        <color rgb="FF4A4540"/>
        <rFont val="맑은 고딕"/>
        <family val="2"/>
        <charset val="129"/>
      </rPr>
      <t>(</t>
    </r>
    <r>
      <rPr>
        <i/>
        <sz val="9"/>
        <color rgb="FF4A4540"/>
        <rFont val="Noto Sans CJK SC"/>
        <family val="2"/>
      </rPr>
      <t>조건부 서식</t>
    </r>
    <r>
      <rPr>
        <i/>
        <sz val="9"/>
        <color rgb="FF4A4540"/>
        <rFont val="맑은 고딕"/>
        <family val="2"/>
        <charset val="129"/>
      </rPr>
      <t>)</t>
    </r>
  </si>
  <si>
    <t>ID</t>
  </si>
  <si>
    <t>분류</t>
  </si>
  <si>
    <t>작업명</t>
  </si>
  <si>
    <t>담당자</t>
  </si>
  <si>
    <t>시작일</t>
  </si>
  <si>
    <t>종료일</t>
  </si>
  <si>
    <t>일수</t>
  </si>
  <si>
    <t>상태</t>
  </si>
  <si>
    <t>W09</t>
  </si>
  <si>
    <t>W10</t>
  </si>
  <si>
    <t>월</t>
  </si>
  <si>
    <t>화</t>
  </si>
  <si>
    <t>수</t>
  </si>
  <si>
    <t>목</t>
  </si>
  <si>
    <t>금</t>
  </si>
  <si>
    <t>5/4</t>
  </si>
  <si>
    <t>5/5</t>
  </si>
  <si>
    <t>5/6</t>
  </si>
  <si>
    <t>5/7</t>
  </si>
  <si>
    <t>5/8</t>
  </si>
  <si>
    <t>5/11</t>
  </si>
  <si>
    <t>5/12</t>
  </si>
  <si>
    <t>5/13</t>
  </si>
  <si>
    <t>5/14</t>
  </si>
  <si>
    <t>5/15</t>
  </si>
  <si>
    <t>5/18</t>
  </si>
  <si>
    <t>5/19</t>
  </si>
  <si>
    <t>5/20</t>
  </si>
  <si>
    <t>5/21</t>
  </si>
  <si>
    <t>5/22</t>
  </si>
  <si>
    <t>5/25</t>
  </si>
  <si>
    <t>5/26</t>
  </si>
  <si>
    <t>5/27</t>
  </si>
  <si>
    <t>5/28</t>
  </si>
  <si>
    <t>5/29</t>
  </si>
  <si>
    <t>6/1</t>
  </si>
  <si>
    <t>6/2</t>
  </si>
  <si>
    <t>6/3</t>
  </si>
  <si>
    <t>6/4</t>
  </si>
  <si>
    <t>6/5</t>
  </si>
  <si>
    <t>6/8</t>
  </si>
  <si>
    <t>6/9</t>
  </si>
  <si>
    <t>6/10</t>
  </si>
  <si>
    <t>6/11</t>
  </si>
  <si>
    <t>6/12</t>
  </si>
  <si>
    <t>6/15</t>
  </si>
  <si>
    <t>6/16</t>
  </si>
  <si>
    <t>6/17</t>
  </si>
  <si>
    <t>6/18</t>
  </si>
  <si>
    <t>6/19</t>
  </si>
  <si>
    <t>BE-001</t>
  </si>
  <si>
    <t>백엔드</t>
  </si>
  <si>
    <r>
      <rPr>
        <sz val="9"/>
        <color rgb="FF1E1E1E"/>
        <rFont val="Noto Sans CJK SC"/>
        <family val="2"/>
      </rPr>
      <t xml:space="preserve">프로젝트 초기 세팅 </t>
    </r>
    <r>
      <rPr>
        <sz val="9"/>
        <color rgb="FF1E1E1E"/>
        <rFont val="맑은 고딕"/>
        <family val="2"/>
        <charset val="129"/>
      </rPr>
      <t xml:space="preserve">(Spring Boot · Gradle · DB </t>
    </r>
    <r>
      <rPr>
        <sz val="9"/>
        <color rgb="FF1E1E1E"/>
        <rFont val="Noto Sans CJK SC"/>
        <family val="2"/>
      </rPr>
      <t>연결</t>
    </r>
    <r>
      <rPr>
        <sz val="9"/>
        <color rgb="FF1E1E1E"/>
        <rFont val="맑은 고딕"/>
        <family val="2"/>
        <charset val="129"/>
      </rPr>
      <t>)</t>
    </r>
  </si>
  <si>
    <t>홍길동</t>
  </si>
  <si>
    <t>05/04</t>
  </si>
  <si>
    <t>05/05</t>
  </si>
  <si>
    <t>완료</t>
  </si>
  <si>
    <t>BE-002</t>
  </si>
  <si>
    <r>
      <rPr>
        <sz val="9"/>
        <color rgb="FF1E1E1E"/>
        <rFont val="맑은 고딕"/>
        <family val="2"/>
        <charset val="129"/>
      </rPr>
      <t xml:space="preserve">User Mapper · Service · </t>
    </r>
    <r>
      <rPr>
        <sz val="9"/>
        <color rgb="FF1E1E1E"/>
        <rFont val="Noto Sans CJK SC"/>
        <family val="2"/>
      </rPr>
      <t>회원가입 로직</t>
    </r>
  </si>
  <si>
    <t>05/06</t>
  </si>
  <si>
    <t>05/12</t>
  </si>
  <si>
    <t>진행 중</t>
  </si>
  <si>
    <t>BE-003</t>
  </si>
  <si>
    <r>
      <rPr>
        <sz val="9"/>
        <color rgb="FF1E1E1E"/>
        <rFont val="Noto Sans CJK SC"/>
        <family val="2"/>
      </rPr>
      <t>로그인</t>
    </r>
    <r>
      <rPr>
        <sz val="9"/>
        <color rgb="FF1E1E1E"/>
        <rFont val="맑은 고딕"/>
        <family val="2"/>
        <charset val="129"/>
      </rPr>
      <t>/</t>
    </r>
    <r>
      <rPr>
        <sz val="9"/>
        <color rgb="FF1E1E1E"/>
        <rFont val="Noto Sans CJK SC"/>
        <family val="2"/>
      </rPr>
      <t xml:space="preserve">로그아웃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세션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>인터셉터</t>
    </r>
  </si>
  <si>
    <t>05/13</t>
  </si>
  <si>
    <t>05/15</t>
  </si>
  <si>
    <t>BE-004</t>
  </si>
  <si>
    <t>Study Mapper · Service · CRUD</t>
  </si>
  <si>
    <t>김영희</t>
  </si>
  <si>
    <t>05/11</t>
  </si>
  <si>
    <t>BE-005</t>
  </si>
  <si>
    <r>
      <rPr>
        <sz val="9"/>
        <color rgb="FF1E1E1E"/>
        <rFont val="맑은 고딕"/>
        <family val="2"/>
        <charset val="129"/>
      </rPr>
      <t xml:space="preserve">StudyMember </t>
    </r>
    <r>
      <rPr>
        <sz val="9"/>
        <color rgb="FF1E1E1E"/>
        <rFont val="Noto Sans CJK SC"/>
        <family val="2"/>
      </rPr>
      <t>참여</t>
    </r>
    <r>
      <rPr>
        <sz val="9"/>
        <color rgb="FF1E1E1E"/>
        <rFont val="맑은 고딕"/>
        <family val="2"/>
        <charset val="129"/>
      </rPr>
      <t>/</t>
    </r>
    <r>
      <rPr>
        <sz val="9"/>
        <color rgb="FF1E1E1E"/>
        <rFont val="Noto Sans CJK SC"/>
        <family val="2"/>
      </rPr>
      <t>탈퇴 로직</t>
    </r>
  </si>
  <si>
    <t>이철수</t>
  </si>
  <si>
    <t>05/14</t>
  </si>
  <si>
    <t>05/19</t>
  </si>
  <si>
    <t>BE-006</t>
  </si>
  <si>
    <t>Schedule Mapper · Service · CRUD</t>
  </si>
  <si>
    <t>05/18</t>
  </si>
  <si>
    <t>05/21</t>
  </si>
  <si>
    <t>BE-007</t>
  </si>
  <si>
    <r>
      <rPr>
        <sz val="9"/>
        <color rgb="FF1E1E1E"/>
        <rFont val="Noto Sans CJK SC"/>
        <family val="2"/>
      </rPr>
      <t xml:space="preserve">페이징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검색 로직 </t>
    </r>
    <r>
      <rPr>
        <sz val="9"/>
        <color rgb="FF1E1E1E"/>
        <rFont val="맑은 고딕"/>
        <family val="2"/>
        <charset val="129"/>
      </rPr>
      <t>(Should)</t>
    </r>
  </si>
  <si>
    <t>05/22</t>
  </si>
  <si>
    <t>05/26</t>
  </si>
  <si>
    <t>FE-001</t>
  </si>
  <si>
    <t>프론트엔드</t>
  </si>
  <si>
    <r>
      <rPr>
        <sz val="9"/>
        <color rgb="FF1E1E1E"/>
        <rFont val="Noto Sans CJK SC"/>
        <family val="2"/>
      </rPr>
      <t xml:space="preserve">공통 레이아웃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네비바 </t>
    </r>
    <r>
      <rPr>
        <sz val="9"/>
        <color rgb="FF1E1E1E"/>
        <rFont val="맑은 고딕"/>
        <family val="2"/>
        <charset val="129"/>
      </rPr>
      <t>· CSS</t>
    </r>
  </si>
  <si>
    <r>
      <rPr>
        <sz val="9"/>
        <color rgb="FF1E1E1E"/>
        <rFont val="Noto Sans CJK SC"/>
        <family val="2"/>
      </rPr>
      <t>이철수</t>
    </r>
    <r>
      <rPr>
        <sz val="9"/>
        <color rgb="FF1E1E1E"/>
        <rFont val="맑은 고딕"/>
        <family val="2"/>
        <charset val="129"/>
      </rPr>
      <t>·</t>
    </r>
    <r>
      <rPr>
        <sz val="9"/>
        <color rgb="FF1E1E1E"/>
        <rFont val="Noto Sans CJK SC"/>
        <family val="2"/>
      </rPr>
      <t>박민지</t>
    </r>
  </si>
  <si>
    <t>FE-002</t>
  </si>
  <si>
    <r>
      <rPr>
        <sz val="9"/>
        <color rgb="FF1E1E1E"/>
        <rFont val="Noto Sans CJK SC"/>
        <family val="2"/>
      </rPr>
      <t xml:space="preserve">로그인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회원가입 화면 </t>
    </r>
    <r>
      <rPr>
        <sz val="9"/>
        <color rgb="FF1E1E1E"/>
        <rFont val="맑은 고딕"/>
        <family val="2"/>
        <charset val="129"/>
      </rPr>
      <t>(S-001·S-002)</t>
    </r>
  </si>
  <si>
    <t>FE-003</t>
  </si>
  <si>
    <r>
      <rPr>
        <sz val="9"/>
        <color rgb="FF1E1E1E"/>
        <rFont val="Noto Sans CJK SC"/>
        <family val="2"/>
      </rPr>
      <t xml:space="preserve">메인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스터디 목록 </t>
    </r>
    <r>
      <rPr>
        <sz val="9"/>
        <color rgb="FF1E1E1E"/>
        <rFont val="맑은 고딕"/>
        <family val="2"/>
        <charset val="129"/>
      </rPr>
      <t>(S-003)</t>
    </r>
  </si>
  <si>
    <t>FE-004</t>
  </si>
  <si>
    <r>
      <rPr>
        <sz val="9"/>
        <color rgb="FF1E1E1E"/>
        <rFont val="Noto Sans CJK SC"/>
        <family val="2"/>
      </rPr>
      <t xml:space="preserve">스터디 상세 </t>
    </r>
    <r>
      <rPr>
        <sz val="9"/>
        <color rgb="FF1E1E1E"/>
        <rFont val="맑은 고딕"/>
        <family val="2"/>
        <charset val="129"/>
      </rPr>
      <t xml:space="preserve">· </t>
    </r>
    <r>
      <rPr>
        <sz val="9"/>
        <color rgb="FF1E1E1E"/>
        <rFont val="Noto Sans CJK SC"/>
        <family val="2"/>
      </rPr>
      <t xml:space="preserve">생성 </t>
    </r>
    <r>
      <rPr>
        <sz val="9"/>
        <color rgb="FF1E1E1E"/>
        <rFont val="맑은 고딕"/>
        <family val="2"/>
        <charset val="129"/>
      </rPr>
      <t>(S-004·S-005)</t>
    </r>
  </si>
  <si>
    <t>FE-005</t>
  </si>
  <si>
    <r>
      <rPr>
        <sz val="9"/>
        <color rgb="FF1E1E1E"/>
        <rFont val="Noto Sans CJK SC"/>
        <family val="2"/>
      </rPr>
      <t xml:space="preserve">일정 관리 화면 </t>
    </r>
    <r>
      <rPr>
        <sz val="9"/>
        <color rgb="FF1E1E1E"/>
        <rFont val="맑은 고딕"/>
        <family val="2"/>
        <charset val="129"/>
      </rPr>
      <t>(S-006)</t>
    </r>
  </si>
  <si>
    <t>05/20</t>
  </si>
  <si>
    <t>DB-001</t>
  </si>
  <si>
    <t>DB</t>
  </si>
  <si>
    <r>
      <rPr>
        <sz val="9"/>
        <color rgb="FF1E1E1E"/>
        <rFont val="맑은 고딕"/>
        <family val="2"/>
        <charset val="129"/>
      </rPr>
      <t xml:space="preserve">DDL </t>
    </r>
    <r>
      <rPr>
        <sz val="9"/>
        <color rgb="FF1E1E1E"/>
        <rFont val="Noto Sans CJK SC"/>
        <family val="2"/>
      </rPr>
      <t xml:space="preserve">작성 </t>
    </r>
    <r>
      <rPr>
        <sz val="9"/>
        <color rgb="FF1E1E1E"/>
        <rFont val="맑은 고딕"/>
        <family val="2"/>
        <charset val="129"/>
      </rPr>
      <t xml:space="preserve">· MySQL </t>
    </r>
    <r>
      <rPr>
        <sz val="9"/>
        <color rgb="FF1E1E1E"/>
        <rFont val="Noto Sans CJK SC"/>
        <family val="2"/>
      </rPr>
      <t>생성</t>
    </r>
  </si>
  <si>
    <t>DB-002</t>
  </si>
  <si>
    <r>
      <rPr>
        <sz val="9"/>
        <color rgb="FF1E1E1E"/>
        <rFont val="Noto Sans CJK SC"/>
        <family val="2"/>
      </rPr>
      <t xml:space="preserve">샘플 데이터 삽입 </t>
    </r>
    <r>
      <rPr>
        <sz val="9"/>
        <color rgb="FF1E1E1E"/>
        <rFont val="맑은 고딕"/>
        <family val="2"/>
        <charset val="129"/>
      </rPr>
      <t>(INSERT)</t>
    </r>
  </si>
  <si>
    <t>05/07</t>
  </si>
  <si>
    <t>05/08</t>
  </si>
  <si>
    <t>DOC-001</t>
  </si>
  <si>
    <t>문서</t>
  </si>
  <si>
    <r>
      <rPr>
        <sz val="9"/>
        <color rgb="FF1E1E1E"/>
        <rFont val="맑은 고딕"/>
        <family val="2"/>
        <charset val="129"/>
      </rPr>
      <t xml:space="preserve">README.md </t>
    </r>
    <r>
      <rPr>
        <sz val="9"/>
        <color rgb="FF1E1E1E"/>
        <rFont val="Noto Sans CJK SC"/>
        <family val="2"/>
      </rPr>
      <t>작성</t>
    </r>
  </si>
  <si>
    <t>06/08</t>
  </si>
  <si>
    <t>06/09</t>
  </si>
  <si>
    <t>DOC-002</t>
  </si>
  <si>
    <t>최종 발표자료 제작</t>
  </si>
  <si>
    <r>
      <rPr>
        <sz val="9"/>
        <color rgb="FF1E1E1E"/>
        <rFont val="Noto Sans CJK SC"/>
        <family val="2"/>
      </rPr>
      <t>박민지</t>
    </r>
    <r>
      <rPr>
        <sz val="9"/>
        <color rgb="FF1E1E1E"/>
        <rFont val="맑은 고딕"/>
        <family val="2"/>
        <charset val="129"/>
      </rPr>
      <t>·</t>
    </r>
    <r>
      <rPr>
        <sz val="9"/>
        <color rgb="FF1E1E1E"/>
        <rFont val="Noto Sans CJK SC"/>
        <family val="2"/>
      </rPr>
      <t>홍길동</t>
    </r>
  </si>
  <si>
    <t>06/11</t>
  </si>
  <si>
    <t>06/16</t>
  </si>
  <si>
    <t>DOC-003</t>
  </si>
  <si>
    <t>시연 영상 백업 녹화</t>
  </si>
  <si>
    <t>06/15</t>
  </si>
  <si>
    <t>06/17</t>
  </si>
  <si>
    <t>★-001</t>
  </si>
  <si>
    <r>
      <rPr>
        <sz val="9"/>
        <color rgb="FF1E1E1E"/>
        <rFont val="맑은 고딕"/>
        <family val="2"/>
        <charset val="129"/>
      </rPr>
      <t xml:space="preserve">W14 </t>
    </r>
    <r>
      <rPr>
        <sz val="9"/>
        <color rgb="FF1E1E1E"/>
        <rFont val="Noto Sans CJK SC"/>
        <family val="2"/>
      </rPr>
      <t>중간 발표</t>
    </r>
  </si>
  <si>
    <t>06/12</t>
  </si>
  <si>
    <t>★</t>
  </si>
  <si>
    <t>★-002</t>
  </si>
  <si>
    <r>
      <rPr>
        <sz val="9"/>
        <color rgb="FF1E1E1E"/>
        <rFont val="맑은 고딕"/>
        <family val="2"/>
        <charset val="129"/>
      </rPr>
      <t xml:space="preserve">W15 </t>
    </r>
    <r>
      <rPr>
        <sz val="9"/>
        <color rgb="FF1E1E1E"/>
        <rFont val="Noto Sans CJK SC"/>
        <family val="2"/>
      </rPr>
      <t>최종 발표 ★</t>
    </r>
  </si>
  <si>
    <t>06/19</t>
  </si>
  <si>
    <t>범례</t>
  </si>
  <si>
    <t>마일스톤 ★</t>
  </si>
  <si>
    <t>완료 ✓</t>
  </si>
  <si>
    <t>블록</t>
  </si>
  <si>
    <r>
      <rPr>
        <i/>
        <sz val="9"/>
        <color rgb="FF4A4540"/>
        <rFont val="Noto Sans CJK SC"/>
        <family val="2"/>
      </rPr>
      <t xml:space="preserve">💡 시작일 </t>
    </r>
    <r>
      <rPr>
        <i/>
        <sz val="9"/>
        <color rgb="FF4A4540"/>
        <rFont val="맑은 고딕"/>
        <family val="2"/>
        <charset val="129"/>
      </rPr>
      <t xml:space="preserve">· </t>
    </r>
    <r>
      <rPr>
        <i/>
        <sz val="9"/>
        <color rgb="FF4A4540"/>
        <rFont val="Noto Sans CJK SC"/>
        <family val="2"/>
      </rPr>
      <t xml:space="preserve">종료일 </t>
    </r>
    <r>
      <rPr>
        <i/>
        <sz val="9"/>
        <color rgb="FF4A4540"/>
        <rFont val="맑은 고딕"/>
        <family val="2"/>
        <charset val="129"/>
      </rPr>
      <t xml:space="preserve">· </t>
    </r>
    <r>
      <rPr>
        <i/>
        <sz val="9"/>
        <color rgb="FF4A4540"/>
        <rFont val="Noto Sans CJK SC"/>
        <family val="2"/>
      </rPr>
      <t xml:space="preserve">상태를 업데이트하면 </t>
    </r>
    <r>
      <rPr>
        <i/>
        <sz val="9"/>
        <color rgb="FF4A4540"/>
        <rFont val="맑은 고딕"/>
        <family val="2"/>
        <charset val="129"/>
      </rPr>
      <t>'3_</t>
    </r>
    <r>
      <rPr>
        <i/>
        <sz val="9"/>
        <color rgb="FF4A4540"/>
        <rFont val="Noto Sans CJK SC"/>
        <family val="2"/>
      </rPr>
      <t>팀원별</t>
    </r>
    <r>
      <rPr>
        <i/>
        <sz val="9"/>
        <color rgb="FF4A4540"/>
        <rFont val="맑은 고딕"/>
        <family val="2"/>
        <charset val="129"/>
      </rPr>
      <t>_</t>
    </r>
    <r>
      <rPr>
        <i/>
        <sz val="9"/>
        <color rgb="FF4A4540"/>
        <rFont val="Noto Sans CJK SC"/>
        <family val="2"/>
      </rPr>
      <t>집계</t>
    </r>
    <r>
      <rPr>
        <i/>
        <sz val="9"/>
        <color rgb="FF4A4540"/>
        <rFont val="맑은 고딕"/>
        <family val="2"/>
        <charset val="129"/>
      </rPr>
      <t xml:space="preserve">' </t>
    </r>
    <r>
      <rPr>
        <i/>
        <sz val="9"/>
        <color rgb="FF4A4540"/>
        <rFont val="Noto Sans CJK SC"/>
        <family val="2"/>
      </rPr>
      <t>시트가 자동 갱신됩니다</t>
    </r>
    <r>
      <rPr>
        <i/>
        <sz val="9"/>
        <color rgb="FF4A4540"/>
        <rFont val="맑은 고딕"/>
        <family val="2"/>
        <charset val="129"/>
      </rPr>
      <t xml:space="preserve">. </t>
    </r>
    <r>
      <rPr>
        <i/>
        <sz val="9"/>
        <color rgb="FF4A4540"/>
        <rFont val="Noto Sans CJK SC"/>
        <family val="2"/>
      </rPr>
      <t xml:space="preserve">간트 바는 수동 색칠 </t>
    </r>
    <r>
      <rPr>
        <i/>
        <sz val="9"/>
        <color rgb="FF4A4540"/>
        <rFont val="맑은 고딕"/>
        <family val="2"/>
        <charset val="129"/>
      </rPr>
      <t>(</t>
    </r>
    <r>
      <rPr>
        <i/>
        <sz val="9"/>
        <color rgb="FF4A4540"/>
        <rFont val="Noto Sans CJK SC"/>
        <family val="2"/>
      </rPr>
      <t>팀 작업 수정 시 기존 컬러 유지</t>
    </r>
    <r>
      <rPr>
        <i/>
        <sz val="9"/>
        <color rgb="FF4A4540"/>
        <rFont val="맑은 고딕"/>
        <family val="2"/>
        <charset val="129"/>
      </rPr>
      <t>)</t>
    </r>
  </si>
  <si>
    <t>팀원별 작업량 집계</t>
  </si>
  <si>
    <r>
      <rPr>
        <i/>
        <sz val="10"/>
        <color rgb="FF4A4540"/>
        <rFont val="맑은 고딕"/>
        <family val="2"/>
        <charset val="129"/>
      </rPr>
      <t xml:space="preserve">※ '2_WBS' </t>
    </r>
    <r>
      <rPr>
        <i/>
        <sz val="10"/>
        <color rgb="FF4A4540"/>
        <rFont val="Noto Sans CJK SC"/>
        <family val="2"/>
      </rPr>
      <t xml:space="preserve">시트 담당자 </t>
    </r>
    <r>
      <rPr>
        <i/>
        <sz val="10"/>
        <color rgb="FF4A4540"/>
        <rFont val="맑은 고딕"/>
        <family val="2"/>
        <charset val="129"/>
      </rPr>
      <t xml:space="preserve">· </t>
    </r>
    <r>
      <rPr>
        <i/>
        <sz val="10"/>
        <color rgb="FF4A4540"/>
        <rFont val="Noto Sans CJK SC"/>
        <family val="2"/>
      </rPr>
      <t>상태 열을 기반으로 자동 계산</t>
    </r>
  </si>
  <si>
    <t>역할</t>
  </si>
  <si>
    <t>담당 작업 수</t>
  </si>
  <si>
    <t>완료 수</t>
  </si>
  <si>
    <t>진행률</t>
  </si>
  <si>
    <t>팀장</t>
  </si>
  <si>
    <t>발표자</t>
  </si>
  <si>
    <t>전체 합계</t>
  </si>
  <si>
    <t>분류별 집계</t>
  </si>
  <si>
    <t>작업 수</t>
  </si>
  <si>
    <r>
      <rPr>
        <i/>
        <sz val="10"/>
        <color rgb="FF4A4540"/>
        <rFont val="Noto Sans CJK SC"/>
        <family val="2"/>
      </rPr>
      <t xml:space="preserve">💡 작업량이 편중되어 있다면 재분배 고려 </t>
    </r>
    <r>
      <rPr>
        <i/>
        <sz val="10"/>
        <color rgb="FF4A4540"/>
        <rFont val="맑은 고딕"/>
        <family val="2"/>
        <charset val="129"/>
      </rPr>
      <t xml:space="preserve">· </t>
    </r>
    <r>
      <rPr>
        <i/>
        <sz val="10"/>
        <color rgb="FF4A4540"/>
        <rFont val="Noto Sans CJK SC"/>
        <family val="2"/>
      </rPr>
      <t>진행률 낮은 팀원은 주간 회의에서 지원 논의</t>
    </r>
  </si>
  <si>
    <t>리스크 관리</t>
  </si>
  <si>
    <r>
      <rPr>
        <i/>
        <sz val="10"/>
        <color rgb="FF4A4540"/>
        <rFont val="Noto Sans CJK SC"/>
        <family val="2"/>
      </rPr>
      <t xml:space="preserve">※ 예상 가능한 문제와 대응 방안을 미리 정의 </t>
    </r>
    <r>
      <rPr>
        <i/>
        <sz val="10"/>
        <color rgb="FF4A4540"/>
        <rFont val="맑은 고딕"/>
        <family val="2"/>
        <charset val="129"/>
      </rPr>
      <t xml:space="preserve">· </t>
    </r>
    <r>
      <rPr>
        <i/>
        <sz val="10"/>
        <color rgb="FF4A4540"/>
        <rFont val="Noto Sans CJK SC"/>
        <family val="2"/>
      </rPr>
      <t xml:space="preserve">발생 시 </t>
    </r>
    <r>
      <rPr>
        <i/>
        <sz val="10"/>
        <color rgb="FF4A4540"/>
        <rFont val="맑은 고딕"/>
        <family val="2"/>
        <charset val="129"/>
      </rPr>
      <t>'</t>
    </r>
    <r>
      <rPr>
        <i/>
        <sz val="10"/>
        <color rgb="FF4A4540"/>
        <rFont val="Noto Sans CJK SC"/>
        <family val="2"/>
      </rPr>
      <t>상태</t>
    </r>
    <r>
      <rPr>
        <i/>
        <sz val="10"/>
        <color rgb="FF4A4540"/>
        <rFont val="맑은 고딕"/>
        <family val="2"/>
        <charset val="129"/>
      </rPr>
      <t xml:space="preserve">' </t>
    </r>
    <r>
      <rPr>
        <i/>
        <sz val="10"/>
        <color rgb="FF4A4540"/>
        <rFont val="Noto Sans CJK SC"/>
        <family val="2"/>
      </rPr>
      <t>업데이트</t>
    </r>
  </si>
  <si>
    <t>리스크</t>
  </si>
  <si>
    <t>발생 가능성</t>
  </si>
  <si>
    <t>영향도</t>
  </si>
  <si>
    <t>대응 방안</t>
  </si>
  <si>
    <t>R-001</t>
  </si>
  <si>
    <r>
      <rPr>
        <sz val="10"/>
        <color rgb="FF1E1E1E"/>
        <rFont val="Noto Sans CJK SC"/>
        <family val="2"/>
      </rPr>
      <t xml:space="preserve">팀원 일정 불일치 </t>
    </r>
    <r>
      <rPr>
        <sz val="10"/>
        <color rgb="FF1E1E1E"/>
        <rFont val="맑은 고딕"/>
        <family val="2"/>
        <charset val="129"/>
      </rPr>
      <t>(</t>
    </r>
    <r>
      <rPr>
        <sz val="10"/>
        <color rgb="FF1E1E1E"/>
        <rFont val="Noto Sans CJK SC"/>
        <family val="2"/>
      </rPr>
      <t>시험</t>
    </r>
    <r>
      <rPr>
        <sz val="10"/>
        <color rgb="FF1E1E1E"/>
        <rFont val="맑은 고딕"/>
        <family val="2"/>
        <charset val="129"/>
      </rPr>
      <t>·</t>
    </r>
    <r>
      <rPr>
        <sz val="10"/>
        <color rgb="FF1E1E1E"/>
        <rFont val="Noto Sans CJK SC"/>
        <family val="2"/>
      </rPr>
      <t>아르바이트</t>
    </r>
    <r>
      <rPr>
        <sz val="10"/>
        <color rgb="FF1E1E1E"/>
        <rFont val="맑은 고딕"/>
        <family val="2"/>
        <charset val="129"/>
      </rPr>
      <t>)</t>
    </r>
  </si>
  <si>
    <t>중</t>
  </si>
  <si>
    <r>
      <rPr>
        <sz val="10"/>
        <color rgb="FF1E1E1E"/>
        <rFont val="Noto Sans CJK SC"/>
        <family val="2"/>
      </rPr>
      <t xml:space="preserve">주 </t>
    </r>
    <r>
      <rPr>
        <sz val="10"/>
        <color rgb="FF1E1E1E"/>
        <rFont val="맑은 고딕"/>
        <family val="2"/>
        <charset val="129"/>
      </rPr>
      <t>1</t>
    </r>
    <r>
      <rPr>
        <sz val="10"/>
        <color rgb="FF1E1E1E"/>
        <rFont val="Noto Sans CJK SC"/>
        <family val="2"/>
      </rPr>
      <t xml:space="preserve">회 정기 회의 </t>
    </r>
    <r>
      <rPr>
        <sz val="10"/>
        <color rgb="FF1E1E1E"/>
        <rFont val="맑은 고딕"/>
        <family val="2"/>
        <charset val="129"/>
      </rPr>
      <t xml:space="preserve">· Slack </t>
    </r>
    <r>
      <rPr>
        <sz val="10"/>
        <color rgb="FF1E1E1E"/>
        <rFont val="Noto Sans CJK SC"/>
        <family val="2"/>
      </rPr>
      <t xml:space="preserve">체크인 </t>
    </r>
    <r>
      <rPr>
        <sz val="10"/>
        <color rgb="FF1E1E1E"/>
        <rFont val="맑은 고딕"/>
        <family val="2"/>
        <charset val="129"/>
      </rPr>
      <t xml:space="preserve">· </t>
    </r>
    <r>
      <rPr>
        <sz val="10"/>
        <color rgb="FF1E1E1E"/>
        <rFont val="Noto Sans CJK SC"/>
        <family val="2"/>
      </rPr>
      <t>비동기 협업</t>
    </r>
  </si>
  <si>
    <t>모니터링</t>
  </si>
  <si>
    <t>R-002</t>
  </si>
  <si>
    <r>
      <rPr>
        <sz val="10"/>
        <color rgb="FF1E1E1E"/>
        <rFont val="맑은 고딕"/>
        <family val="2"/>
        <charset val="129"/>
      </rPr>
      <t xml:space="preserve">MyBatis </t>
    </r>
    <r>
      <rPr>
        <sz val="10"/>
        <color rgb="FF1E1E1E"/>
        <rFont val="Noto Sans CJK SC"/>
        <family val="2"/>
      </rPr>
      <t xml:space="preserve">매핑 오류 </t>
    </r>
    <r>
      <rPr>
        <sz val="10"/>
        <color rgb="FF1E1E1E"/>
        <rFont val="맑은 고딕"/>
        <family val="2"/>
        <charset val="129"/>
      </rPr>
      <t>(Invalid bound statement)</t>
    </r>
  </si>
  <si>
    <t>상</t>
  </si>
  <si>
    <r>
      <rPr>
        <sz val="10"/>
        <color rgb="FF1E1E1E"/>
        <rFont val="맑은 고딕"/>
        <family val="2"/>
        <charset val="129"/>
      </rPr>
      <t xml:space="preserve">DB </t>
    </r>
    <r>
      <rPr>
        <sz val="10"/>
        <color rgb="FF1E1E1E"/>
        <rFont val="Noto Sans CJK SC"/>
        <family val="2"/>
      </rPr>
      <t xml:space="preserve">연결 먼저 테스트 </t>
    </r>
    <r>
      <rPr>
        <sz val="10"/>
        <color rgb="FF1E1E1E"/>
        <rFont val="맑은 고딕"/>
        <family val="2"/>
        <charset val="129"/>
      </rPr>
      <t xml:space="preserve">· namespace </t>
    </r>
    <r>
      <rPr>
        <sz val="10"/>
        <color rgb="FF1E1E1E"/>
        <rFont val="Noto Sans CJK SC"/>
        <family val="2"/>
      </rPr>
      <t xml:space="preserve">철저히 확인 </t>
    </r>
    <r>
      <rPr>
        <sz val="10"/>
        <color rgb="FF1E1E1E"/>
        <rFont val="맑은 고딕"/>
        <family val="2"/>
        <charset val="129"/>
      </rPr>
      <t xml:space="preserve">· </t>
    </r>
    <r>
      <rPr>
        <sz val="10"/>
        <color rgb="FF1E1E1E"/>
        <rFont val="Noto Sans CJK SC"/>
        <family val="2"/>
      </rPr>
      <t>교수 질의</t>
    </r>
  </si>
  <si>
    <t>R-003</t>
  </si>
  <si>
    <r>
      <rPr>
        <sz val="10"/>
        <color rgb="FF1E1E1E"/>
        <rFont val="Noto Sans CJK SC"/>
        <family val="2"/>
      </rPr>
      <t xml:space="preserve">범위 확장 </t>
    </r>
    <r>
      <rPr>
        <sz val="10"/>
        <color rgb="FF1E1E1E"/>
        <rFont val="맑은 고딕"/>
        <family val="2"/>
        <charset val="129"/>
      </rPr>
      <t>(</t>
    </r>
    <r>
      <rPr>
        <sz val="10"/>
        <color rgb="FF1E1E1E"/>
        <rFont val="Noto Sans CJK SC"/>
        <family val="2"/>
      </rPr>
      <t>기능 추가 욕심</t>
    </r>
    <r>
      <rPr>
        <sz val="10"/>
        <color rgb="FF1E1E1E"/>
        <rFont val="맑은 고딕"/>
        <family val="2"/>
        <charset val="129"/>
      </rPr>
      <t>)</t>
    </r>
  </si>
  <si>
    <r>
      <rPr>
        <sz val="10"/>
        <color rgb="FF1E1E1E"/>
        <rFont val="맑은 고딕"/>
        <family val="2"/>
        <charset val="129"/>
      </rPr>
      <t xml:space="preserve">Won't </t>
    </r>
    <r>
      <rPr>
        <sz val="10"/>
        <color rgb="FF1E1E1E"/>
        <rFont val="Noto Sans CJK SC"/>
        <family val="2"/>
      </rPr>
      <t xml:space="preserve">항목 유지 </t>
    </r>
    <r>
      <rPr>
        <sz val="10"/>
        <color rgb="FF1E1E1E"/>
        <rFont val="맑은 고딕"/>
        <family val="2"/>
        <charset val="129"/>
      </rPr>
      <t>· Should</t>
    </r>
    <r>
      <rPr>
        <sz val="10"/>
        <color rgb="FF1E1E1E"/>
        <rFont val="Noto Sans CJK SC"/>
        <family val="2"/>
      </rPr>
      <t xml:space="preserve">는 </t>
    </r>
    <r>
      <rPr>
        <sz val="10"/>
        <color rgb="FF1E1E1E"/>
        <rFont val="맑은 고딕"/>
        <family val="2"/>
        <charset val="129"/>
      </rPr>
      <t xml:space="preserve">Must </t>
    </r>
    <r>
      <rPr>
        <sz val="10"/>
        <color rgb="FF1E1E1E"/>
        <rFont val="Noto Sans CJK SC"/>
        <family val="2"/>
      </rPr>
      <t>완료 후에만 착수</t>
    </r>
  </si>
  <si>
    <t>R-004</t>
  </si>
  <si>
    <r>
      <rPr>
        <sz val="10"/>
        <color rgb="FF1E1E1E"/>
        <rFont val="Noto Sans CJK SC"/>
        <family val="2"/>
      </rPr>
      <t xml:space="preserve">발표 시연 에러 </t>
    </r>
    <r>
      <rPr>
        <sz val="10"/>
        <color rgb="FF1E1E1E"/>
        <rFont val="맑은 고딕"/>
        <family val="2"/>
        <charset val="129"/>
      </rPr>
      <t>(</t>
    </r>
    <r>
      <rPr>
        <sz val="10"/>
        <color rgb="FF1E1E1E"/>
        <rFont val="Noto Sans CJK SC"/>
        <family val="2"/>
      </rPr>
      <t>라이브</t>
    </r>
    <r>
      <rPr>
        <sz val="10"/>
        <color rgb="FF1E1E1E"/>
        <rFont val="맑은 고딕"/>
        <family val="2"/>
        <charset val="129"/>
      </rPr>
      <t>)</t>
    </r>
  </si>
  <si>
    <r>
      <rPr>
        <sz val="10"/>
        <color rgb="FF1E1E1E"/>
        <rFont val="맑은 고딕"/>
        <family val="2"/>
        <charset val="129"/>
      </rPr>
      <t xml:space="preserve">W14 </t>
    </r>
    <r>
      <rPr>
        <sz val="10"/>
        <color rgb="FF1E1E1E"/>
        <rFont val="Noto Sans CJK SC"/>
        <family val="2"/>
      </rPr>
      <t xml:space="preserve">중간발표 시 전체 리허설 </t>
    </r>
    <r>
      <rPr>
        <sz val="10"/>
        <color rgb="FF1E1E1E"/>
        <rFont val="맑은 고딕"/>
        <family val="2"/>
        <charset val="129"/>
      </rPr>
      <t xml:space="preserve">· </t>
    </r>
    <r>
      <rPr>
        <sz val="10"/>
        <color rgb="FF1E1E1E"/>
        <rFont val="Noto Sans CJK SC"/>
        <family val="2"/>
      </rPr>
      <t>시연 영상 백업 녹화</t>
    </r>
  </si>
  <si>
    <t>R-005</t>
  </si>
  <si>
    <r>
      <rPr>
        <sz val="10"/>
        <color rgb="FF1E1E1E"/>
        <rFont val="맑은 고딕"/>
        <family val="2"/>
        <charset val="129"/>
      </rPr>
      <t xml:space="preserve">Git </t>
    </r>
    <r>
      <rPr>
        <sz val="10"/>
        <color rgb="FF1E1E1E"/>
        <rFont val="Noto Sans CJK SC"/>
        <family val="2"/>
      </rPr>
      <t xml:space="preserve">충돌 </t>
    </r>
    <r>
      <rPr>
        <sz val="10"/>
        <color rgb="FF1E1E1E"/>
        <rFont val="맑은 고딕"/>
        <family val="2"/>
        <charset val="129"/>
      </rPr>
      <t>(merge conflict)</t>
    </r>
  </si>
  <si>
    <r>
      <rPr>
        <sz val="10"/>
        <color rgb="FF1E1E1E"/>
        <rFont val="Noto Sans CJK SC"/>
        <family val="2"/>
      </rPr>
      <t xml:space="preserve">브랜치 전략 준수 </t>
    </r>
    <r>
      <rPr>
        <sz val="10"/>
        <color rgb="FF1E1E1E"/>
        <rFont val="맑은 고딕"/>
        <family val="2"/>
        <charset val="129"/>
      </rPr>
      <t xml:space="preserve">· PR </t>
    </r>
    <r>
      <rPr>
        <sz val="10"/>
        <color rgb="FF1E1E1E"/>
        <rFont val="Noto Sans CJK SC"/>
        <family val="2"/>
      </rPr>
      <t xml:space="preserve">전 </t>
    </r>
    <r>
      <rPr>
        <sz val="10"/>
        <color rgb="FF1E1E1E"/>
        <rFont val="맑은 고딕"/>
        <family val="2"/>
        <charset val="129"/>
      </rPr>
      <t xml:space="preserve">pull · </t>
    </r>
    <r>
      <rPr>
        <sz val="10"/>
        <color rgb="FF1E1E1E"/>
        <rFont val="Noto Sans CJK SC"/>
        <family val="2"/>
      </rPr>
      <t>작업 단위 작게</t>
    </r>
  </si>
  <si>
    <t>R-006</t>
  </si>
  <si>
    <r>
      <rPr>
        <sz val="10"/>
        <color rgb="FF1E1E1E"/>
        <rFont val="Noto Sans CJK SC"/>
        <family val="2"/>
      </rPr>
      <t xml:space="preserve">팀원 이탈 </t>
    </r>
    <r>
      <rPr>
        <sz val="10"/>
        <color rgb="FF1E1E1E"/>
        <rFont val="맑은 고딕"/>
        <family val="2"/>
        <charset val="129"/>
      </rPr>
      <t xml:space="preserve">· </t>
    </r>
    <r>
      <rPr>
        <sz val="10"/>
        <color rgb="FF1E1E1E"/>
        <rFont val="Noto Sans CJK SC"/>
        <family val="2"/>
      </rPr>
      <t>기여도 급감</t>
    </r>
  </si>
  <si>
    <t>하</t>
  </si>
  <si>
    <r>
      <rPr>
        <sz val="10"/>
        <color rgb="FF1E1E1E"/>
        <rFont val="Noto Sans CJK SC"/>
        <family val="2"/>
      </rPr>
      <t xml:space="preserve">주간 회의 참석 확인 </t>
    </r>
    <r>
      <rPr>
        <sz val="10"/>
        <color rgb="FF1E1E1E"/>
        <rFont val="맑은 고딕"/>
        <family val="2"/>
        <charset val="129"/>
      </rPr>
      <t xml:space="preserve">· </t>
    </r>
    <r>
      <rPr>
        <sz val="10"/>
        <color rgb="FF1E1E1E"/>
        <rFont val="Noto Sans CJK SC"/>
        <family val="2"/>
      </rPr>
      <t>기여도 낮은 팀원은 조기 논의</t>
    </r>
  </si>
  <si>
    <r>
      <rPr>
        <b/>
        <sz val="20"/>
        <color rgb="FF7C3AED"/>
        <rFont val="Noto Sans CJK SC"/>
        <family val="2"/>
      </rPr>
      <t xml:space="preserve">회의 </t>
    </r>
    <r>
      <rPr>
        <b/>
        <sz val="20"/>
        <color rgb="FF7C3AED"/>
        <rFont val="맑은 고딕"/>
        <family val="2"/>
        <charset val="129"/>
      </rPr>
      <t xml:space="preserve">· </t>
    </r>
    <r>
      <rPr>
        <b/>
        <sz val="20"/>
        <color rgb="FF7C3AED"/>
        <rFont val="Noto Sans CJK SC"/>
        <family val="2"/>
      </rPr>
      <t>협업 규칙</t>
    </r>
  </si>
  <si>
    <t>항목</t>
  </si>
  <si>
    <t>내용</t>
  </si>
  <si>
    <t>회의</t>
  </si>
  <si>
    <t>정기 회의 일정</t>
  </si>
  <si>
    <r>
      <rPr>
        <sz val="11"/>
        <color rgb="FF1E1E1E"/>
        <rFont val="맑은 고딕"/>
        <family val="2"/>
        <charset val="129"/>
      </rPr>
      <t>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 xml:space="preserve">] </t>
    </r>
    <r>
      <rPr>
        <sz val="11"/>
        <color rgb="FF1E1E1E"/>
        <rFont val="Noto Sans CJK SC"/>
        <family val="2"/>
      </rPr>
      <t xml:space="preserve">매주 월요일 </t>
    </r>
    <r>
      <rPr>
        <sz val="11"/>
        <color rgb="FF1E1E1E"/>
        <rFont val="맑은 고딕"/>
        <family val="2"/>
        <charset val="129"/>
      </rPr>
      <t>19:00 · Google Meet · 30</t>
    </r>
    <r>
      <rPr>
        <sz val="11"/>
        <color rgb="FF1E1E1E"/>
        <rFont val="Noto Sans CJK SC"/>
        <family val="2"/>
      </rPr>
      <t>분</t>
    </r>
  </si>
  <si>
    <t>회의록 작성</t>
  </si>
  <si>
    <r>
      <rPr>
        <sz val="11"/>
        <color rgb="FF1E1E1E"/>
        <rFont val="맑은 고딕"/>
        <family val="2"/>
        <charset val="129"/>
      </rPr>
      <t xml:space="preserve">docs/meetings/YYYYMMDD.md </t>
    </r>
    <r>
      <rPr>
        <sz val="11"/>
        <color rgb="FF1E1E1E"/>
        <rFont val="Noto Sans CJK SC"/>
        <family val="2"/>
      </rPr>
      <t xml:space="preserve">형식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팀장이 주도</t>
    </r>
  </si>
  <si>
    <t>진행 상태 공유</t>
  </si>
  <si>
    <r>
      <rPr>
        <sz val="11"/>
        <color rgb="FF1E1E1E"/>
        <rFont val="맑은 고딕"/>
        <family val="2"/>
        <charset val="129"/>
      </rPr>
      <t xml:space="preserve">'2_WBS' </t>
    </r>
    <r>
      <rPr>
        <sz val="11"/>
        <color rgb="FF1E1E1E"/>
        <rFont val="Noto Sans CJK SC"/>
        <family val="2"/>
      </rPr>
      <t>시트 작업 상태 업데이트 후 회의</t>
    </r>
  </si>
  <si>
    <t>긴급 상황</t>
  </si>
  <si>
    <r>
      <rPr>
        <sz val="11"/>
        <color rgb="FF1E1E1E"/>
        <rFont val="맑은 고딕"/>
        <family val="2"/>
        <charset val="129"/>
      </rPr>
      <t xml:space="preserve">Slack / </t>
    </r>
    <r>
      <rPr>
        <sz val="11"/>
        <color rgb="FF1E1E1E"/>
        <rFont val="Noto Sans CJK SC"/>
        <family val="2"/>
      </rPr>
      <t xml:space="preserve">카톡방 즉시 공유 </t>
    </r>
    <r>
      <rPr>
        <sz val="11"/>
        <color rgb="FF1E1E1E"/>
        <rFont val="맑은 고딕"/>
        <family val="2"/>
        <charset val="129"/>
      </rPr>
      <t>· 24</t>
    </r>
    <r>
      <rPr>
        <sz val="11"/>
        <color rgb="FF1E1E1E"/>
        <rFont val="Noto Sans CJK SC"/>
        <family val="2"/>
      </rPr>
      <t>시간 내 응답</t>
    </r>
  </si>
  <si>
    <t>Git</t>
  </si>
  <si>
    <t>브랜치 전략</t>
  </si>
  <si>
    <r>
      <rPr>
        <sz val="11"/>
        <color rgb="FF1E1E1E"/>
        <rFont val="맑은 고딕"/>
        <family val="2"/>
        <charset val="129"/>
      </rPr>
      <t>main (</t>
    </r>
    <r>
      <rPr>
        <sz val="11"/>
        <color rgb="FF1E1E1E"/>
        <rFont val="Noto Sans CJK SC"/>
        <family val="2"/>
      </rPr>
      <t>보호</t>
    </r>
    <r>
      <rPr>
        <sz val="11"/>
        <color rgb="FF1E1E1E"/>
        <rFont val="맑은 고딕"/>
        <family val="2"/>
        <charset val="129"/>
      </rPr>
      <t>) + feature/</t>
    </r>
    <r>
      <rPr>
        <sz val="11"/>
        <color rgb="FF1E1E1E"/>
        <rFont val="Noto Sans CJK SC"/>
        <family val="2"/>
      </rPr>
      <t xml:space="preserve">기능명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완료 시 </t>
    </r>
    <r>
      <rPr>
        <sz val="11"/>
        <color rgb="FF1E1E1E"/>
        <rFont val="맑은 고딕"/>
        <family val="2"/>
        <charset val="129"/>
      </rPr>
      <t xml:space="preserve">PR → </t>
    </r>
    <r>
      <rPr>
        <sz val="11"/>
        <color rgb="FF1E1E1E"/>
        <rFont val="Noto Sans CJK SC"/>
        <family val="2"/>
      </rPr>
      <t xml:space="preserve">리뷰 → </t>
    </r>
    <r>
      <rPr>
        <sz val="11"/>
        <color rgb="FF1E1E1E"/>
        <rFont val="맑은 고딕"/>
        <family val="2"/>
        <charset val="129"/>
      </rPr>
      <t>merge</t>
    </r>
  </si>
  <si>
    <t>커밋 메시지</t>
  </si>
  <si>
    <r>
      <rPr>
        <sz val="11"/>
        <color rgb="FF1E1E1E"/>
        <rFont val="맑은 고딕"/>
        <family val="2"/>
        <charset val="129"/>
      </rPr>
      <t xml:space="preserve">[feat] </t>
    </r>
    <r>
      <rPr>
        <sz val="11"/>
        <color rgb="FF1E1E1E"/>
        <rFont val="Noto Sans CJK SC"/>
        <family val="2"/>
      </rPr>
      <t xml:space="preserve">기능 추가 </t>
    </r>
    <r>
      <rPr>
        <sz val="11"/>
        <color rgb="FF1E1E1E"/>
        <rFont val="맑은 고딕"/>
        <family val="2"/>
        <charset val="129"/>
      </rPr>
      <t xml:space="preserve">· [fix] </t>
    </r>
    <r>
      <rPr>
        <sz val="11"/>
        <color rgb="FF1E1E1E"/>
        <rFont val="Noto Sans CJK SC"/>
        <family val="2"/>
      </rPr>
      <t xml:space="preserve">버그 수정 </t>
    </r>
    <r>
      <rPr>
        <sz val="11"/>
        <color rgb="FF1E1E1E"/>
        <rFont val="맑은 고딕"/>
        <family val="2"/>
        <charset val="129"/>
      </rPr>
      <t xml:space="preserve">· [docs] </t>
    </r>
    <r>
      <rPr>
        <sz val="11"/>
        <color rgb="FF1E1E1E"/>
        <rFont val="Noto Sans CJK SC"/>
        <family val="2"/>
      </rPr>
      <t xml:space="preserve">문서 </t>
    </r>
    <r>
      <rPr>
        <sz val="11"/>
        <color rgb="FF1E1E1E"/>
        <rFont val="맑은 고딕"/>
        <family val="2"/>
        <charset val="129"/>
      </rPr>
      <t xml:space="preserve">· [refactor] </t>
    </r>
    <r>
      <rPr>
        <sz val="11"/>
        <color rgb="FF1E1E1E"/>
        <rFont val="Noto Sans CJK SC"/>
        <family val="2"/>
      </rPr>
      <t>리팩토링</t>
    </r>
  </si>
  <si>
    <r>
      <rPr>
        <b/>
        <sz val="11"/>
        <color rgb="FF1E1E1E"/>
        <rFont val="맑은 고딕"/>
        <family val="2"/>
        <charset val="129"/>
      </rPr>
      <t xml:space="preserve">PR </t>
    </r>
    <r>
      <rPr>
        <b/>
        <sz val="11"/>
        <color rgb="FF1E1E1E"/>
        <rFont val="Noto Sans CJK SC"/>
        <family val="2"/>
      </rPr>
      <t>규칙</t>
    </r>
  </si>
  <si>
    <r>
      <rPr>
        <sz val="11"/>
        <color rgb="FF1E1E1E"/>
        <rFont val="Noto Sans CJK SC"/>
        <family val="2"/>
      </rPr>
      <t xml:space="preserve">최소 </t>
    </r>
    <r>
      <rPr>
        <sz val="11"/>
        <color rgb="FF1E1E1E"/>
        <rFont val="맑은 고딕"/>
        <family val="2"/>
        <charset val="129"/>
      </rPr>
      <t>1</t>
    </r>
    <r>
      <rPr>
        <sz val="11"/>
        <color rgb="FF1E1E1E"/>
        <rFont val="Noto Sans CJK SC"/>
        <family val="2"/>
      </rPr>
      <t xml:space="preserve">명 리뷰 필수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본인 머지 금지</t>
    </r>
  </si>
  <si>
    <t>충돌 해결</t>
  </si>
  <si>
    <r>
      <rPr>
        <sz val="11"/>
        <color rgb="FF1E1E1E"/>
        <rFont val="맑은 고딕"/>
        <family val="2"/>
        <charset val="129"/>
      </rPr>
      <t xml:space="preserve">pull </t>
    </r>
    <r>
      <rPr>
        <sz val="11"/>
        <color rgb="FF1E1E1E"/>
        <rFont val="Noto Sans CJK SC"/>
        <family val="2"/>
      </rPr>
      <t xml:space="preserve">먼저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로컬에서 해결 후 </t>
    </r>
    <r>
      <rPr>
        <sz val="11"/>
        <color rgb="FF1E1E1E"/>
        <rFont val="맑은 고딕"/>
        <family val="2"/>
        <charset val="129"/>
      </rPr>
      <t xml:space="preserve">push · </t>
    </r>
    <r>
      <rPr>
        <sz val="11"/>
        <color rgb="FF1E1E1E"/>
        <rFont val="Noto Sans CJK SC"/>
        <family val="2"/>
      </rPr>
      <t>불확실하면 팀원과 상의</t>
    </r>
  </si>
  <si>
    <t>코드</t>
  </si>
  <si>
    <t>네이밍 규칙</t>
  </si>
  <si>
    <r>
      <rPr>
        <sz val="11"/>
        <color rgb="FF1E1E1E"/>
        <rFont val="맑은 고딕"/>
        <family val="2"/>
        <charset val="129"/>
      </rPr>
      <t xml:space="preserve">Java: camelCase · </t>
    </r>
    <r>
      <rPr>
        <sz val="11"/>
        <color rgb="FF1E1E1E"/>
        <rFont val="Noto Sans CJK SC"/>
        <family val="2"/>
      </rPr>
      <t xml:space="preserve">클래스 </t>
    </r>
    <r>
      <rPr>
        <sz val="11"/>
        <color rgb="FF1E1E1E"/>
        <rFont val="맑은 고딕"/>
        <family val="2"/>
        <charset val="129"/>
      </rPr>
      <t xml:space="preserve">PascalCase · </t>
    </r>
    <r>
      <rPr>
        <sz val="11"/>
        <color rgb="FF1E1E1E"/>
        <rFont val="Noto Sans CJK SC"/>
        <family val="2"/>
      </rPr>
      <t xml:space="preserve">상수 </t>
    </r>
    <r>
      <rPr>
        <sz val="11"/>
        <color rgb="FF1E1E1E"/>
        <rFont val="맑은 고딕"/>
        <family val="2"/>
        <charset val="129"/>
      </rPr>
      <t>UPPER_SNAKE</t>
    </r>
  </si>
  <si>
    <t>한국어 주석</t>
  </si>
  <si>
    <r>
      <rPr>
        <sz val="11"/>
        <color rgb="FF1E1E1E"/>
        <rFont val="Noto Sans CJK SC"/>
        <family val="2"/>
      </rPr>
      <t xml:space="preserve">핵심 로직에만 간결하게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코드로 설명 가능하면 주석 불필요</t>
    </r>
  </si>
  <si>
    <t>코드 리뷰</t>
  </si>
  <si>
    <r>
      <rPr>
        <sz val="11"/>
        <color rgb="FF1E1E1E"/>
        <rFont val="맑은 고딕"/>
        <family val="2"/>
        <charset val="129"/>
      </rPr>
      <t xml:space="preserve">Must </t>
    </r>
    <r>
      <rPr>
        <sz val="11"/>
        <color rgb="FF1E1E1E"/>
        <rFont val="Noto Sans CJK SC"/>
        <family val="2"/>
      </rPr>
      <t xml:space="preserve">기능 </t>
    </r>
    <r>
      <rPr>
        <sz val="11"/>
        <color rgb="FF1E1E1E"/>
        <rFont val="맑은 고딕"/>
        <family val="2"/>
        <charset val="129"/>
      </rPr>
      <t>PR</t>
    </r>
    <r>
      <rPr>
        <sz val="11"/>
        <color rgb="FF1E1E1E"/>
        <rFont val="Noto Sans CJK SC"/>
        <family val="2"/>
      </rPr>
      <t>은 반드시 팀원 리뷰</t>
    </r>
  </si>
  <si>
    <t>커밋 단위</t>
  </si>
  <si>
    <r>
      <rPr>
        <sz val="11"/>
        <color rgb="FF1E1E1E"/>
        <rFont val="Noto Sans CJK SC"/>
        <family val="2"/>
      </rPr>
      <t xml:space="preserve">하나의 논리적 변경 </t>
    </r>
    <r>
      <rPr>
        <sz val="11"/>
        <color rgb="FF1E1E1E"/>
        <rFont val="맑은 고딕"/>
        <family val="2"/>
        <charset val="129"/>
      </rPr>
      <t xml:space="preserve">= </t>
    </r>
    <r>
      <rPr>
        <sz val="11"/>
        <color rgb="FF1E1E1E"/>
        <rFont val="Noto Sans CJK SC"/>
        <family val="2"/>
      </rPr>
      <t xml:space="preserve">하나의 커밋 </t>
    </r>
    <r>
      <rPr>
        <sz val="11"/>
        <color rgb="FF1E1E1E"/>
        <rFont val="맑은 고딕"/>
        <family val="2"/>
        <charset val="129"/>
      </rPr>
      <t>(</t>
    </r>
    <r>
      <rPr>
        <sz val="11"/>
        <color rgb="FF1E1E1E"/>
        <rFont val="Noto Sans CJK SC"/>
        <family val="2"/>
      </rPr>
      <t>대형 커밋 금지</t>
    </r>
    <r>
      <rPr>
        <sz val="11"/>
        <color rgb="FF1E1E1E"/>
        <rFont val="맑은 고딕"/>
        <family val="2"/>
        <charset val="129"/>
      </rPr>
      <t>)</t>
    </r>
  </si>
  <si>
    <r>
      <rPr>
        <b/>
        <sz val="11"/>
        <color rgb="FF1E1E1E"/>
        <rFont val="맑은 고딕"/>
        <family val="2"/>
        <charset val="129"/>
      </rPr>
      <t xml:space="preserve">docs/ </t>
    </r>
    <r>
      <rPr>
        <b/>
        <sz val="11"/>
        <color rgb="FF1E1E1E"/>
        <rFont val="Noto Sans CJK SC"/>
        <family val="2"/>
      </rPr>
      <t>구조</t>
    </r>
  </si>
  <si>
    <r>
      <rPr>
        <sz val="11"/>
        <color rgb="FF1E1E1E"/>
        <rFont val="Noto Sans CJK SC"/>
        <family val="2"/>
      </rPr>
      <t>요구사항</t>
    </r>
    <r>
      <rPr>
        <sz val="11"/>
        <color rgb="FF1E1E1E"/>
        <rFont val="맑은 고딕"/>
        <family val="2"/>
        <charset val="129"/>
      </rPr>
      <t>_</t>
    </r>
    <r>
      <rPr>
        <sz val="11"/>
        <color rgb="FF1E1E1E"/>
        <rFont val="Noto Sans CJK SC"/>
        <family val="2"/>
      </rPr>
      <t xml:space="preserve">정의서 </t>
    </r>
    <r>
      <rPr>
        <sz val="11"/>
        <color rgb="FF1E1E1E"/>
        <rFont val="맑은 고딕"/>
        <family val="2"/>
        <charset val="129"/>
      </rPr>
      <t xml:space="preserve">/ ERD / </t>
    </r>
    <r>
      <rPr>
        <sz val="11"/>
        <color rgb="FF1E1E1E"/>
        <rFont val="Noto Sans CJK SC"/>
        <family val="2"/>
      </rPr>
      <t xml:space="preserve">화면설계서 </t>
    </r>
    <r>
      <rPr>
        <sz val="11"/>
        <color rgb="FF1E1E1E"/>
        <rFont val="맑은 고딕"/>
        <family val="2"/>
        <charset val="129"/>
      </rPr>
      <t>/ API</t>
    </r>
    <r>
      <rPr>
        <sz val="11"/>
        <color rgb="FF1E1E1E"/>
        <rFont val="Noto Sans CJK SC"/>
        <family val="2"/>
      </rPr>
      <t xml:space="preserve">명세서 </t>
    </r>
    <r>
      <rPr>
        <sz val="11"/>
        <color rgb="FF1E1E1E"/>
        <rFont val="맑은 고딕"/>
        <family val="2"/>
        <charset val="129"/>
      </rPr>
      <t xml:space="preserve">/ WBS · </t>
    </r>
    <r>
      <rPr>
        <sz val="11"/>
        <color rgb="FF1E1E1E"/>
        <rFont val="Noto Sans CJK SC"/>
        <family val="2"/>
      </rPr>
      <t>회의록</t>
    </r>
  </si>
  <si>
    <t>커밋 접두사</t>
  </si>
  <si>
    <r>
      <rPr>
        <sz val="11"/>
        <color rgb="FF1E1E1E"/>
        <rFont val="맑은 고딕"/>
        <family val="2"/>
        <charset val="129"/>
      </rPr>
      <t>[docs]</t>
    </r>
    <r>
      <rPr>
        <sz val="11"/>
        <color rgb="FF1E1E1E"/>
        <rFont val="Noto Sans CJK SC"/>
        <family val="2"/>
      </rPr>
      <t xml:space="preserve">로 시작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산출물 변경 이력 쉽게 추적</t>
    </r>
  </si>
  <si>
    <t>발표자료</t>
  </si>
  <si>
    <r>
      <rPr>
        <sz val="11"/>
        <color rgb="FF1E1E1E"/>
        <rFont val="맑은 고딕"/>
        <family val="2"/>
        <charset val="129"/>
      </rPr>
      <t xml:space="preserve">docs/presentation/ </t>
    </r>
    <r>
      <rPr>
        <sz val="11"/>
        <color rgb="FF1E1E1E"/>
        <rFont val="Noto Sans CJK SC"/>
        <family val="2"/>
      </rPr>
      <t xml:space="preserve">폴더에 </t>
    </r>
    <r>
      <rPr>
        <sz val="11"/>
        <color rgb="FF1E1E1E"/>
        <rFont val="맑은 고딕"/>
        <family val="2"/>
        <charset val="129"/>
      </rPr>
      <t xml:space="preserve">W14 · W15 </t>
    </r>
    <r>
      <rPr>
        <sz val="11"/>
        <color rgb="FF1E1E1E"/>
        <rFont val="Noto Sans CJK SC"/>
        <family val="2"/>
      </rPr>
      <t>자료 보관</t>
    </r>
  </si>
  <si>
    <t>✅ 제출 전 체크리스트</t>
  </si>
  <si>
    <r>
      <rPr>
        <sz val="11"/>
        <color rgb="FF1E1E1E"/>
        <rFont val="Noto Sans CJK SC"/>
        <family val="2"/>
      </rPr>
      <t xml:space="preserve">□ 프로젝트 일정 개요 작성 완료 </t>
    </r>
    <r>
      <rPr>
        <sz val="11"/>
        <color rgb="FF1E1E1E"/>
        <rFont val="맑은 고딕"/>
        <family val="2"/>
        <charset val="129"/>
      </rPr>
      <t>('1_</t>
    </r>
    <r>
      <rPr>
        <sz val="11"/>
        <color rgb="FF1E1E1E"/>
        <rFont val="Noto Sans CJK SC"/>
        <family val="2"/>
      </rPr>
      <t>일정개요</t>
    </r>
    <r>
      <rPr>
        <sz val="11"/>
        <color rgb="FF1E1E1E"/>
        <rFont val="맑은 고딕"/>
        <family val="2"/>
        <charset val="129"/>
      </rPr>
      <t xml:space="preserve">' </t>
    </r>
    <r>
      <rPr>
        <sz val="11"/>
        <color rgb="FF1E1E1E"/>
        <rFont val="Noto Sans CJK SC"/>
        <family val="2"/>
      </rPr>
      <t>시트</t>
    </r>
    <r>
      <rPr>
        <sz val="11"/>
        <color rgb="FF1E1E1E"/>
        <rFont val="맑은 고딕"/>
        <family val="2"/>
        <charset val="129"/>
      </rPr>
      <t>)</t>
    </r>
  </si>
  <si>
    <r>
      <rPr>
        <sz val="11"/>
        <color rgb="FF1E1E1E"/>
        <rFont val="맑은 고딕"/>
        <family val="2"/>
        <charset val="129"/>
      </rPr>
      <t xml:space="preserve">□ WBS </t>
    </r>
    <r>
      <rPr>
        <sz val="11"/>
        <color rgb="FF1E1E1E"/>
        <rFont val="Noto Sans CJK SC"/>
        <family val="2"/>
      </rPr>
      <t xml:space="preserve">간트차트 작성 </t>
    </r>
    <r>
      <rPr>
        <sz val="11"/>
        <color rgb="FF1E1E1E"/>
        <rFont val="맑은 고딕"/>
        <family val="2"/>
        <charset val="129"/>
      </rPr>
      <t xml:space="preserve">('2_WBS' </t>
    </r>
    <r>
      <rPr>
        <sz val="11"/>
        <color rgb="FF1E1E1E"/>
        <rFont val="Noto Sans CJK SC"/>
        <family val="2"/>
      </rPr>
      <t>시트</t>
    </r>
    <r>
      <rPr>
        <sz val="11"/>
        <color rgb="FF1E1E1E"/>
        <rFont val="맑은 고딕"/>
        <family val="2"/>
        <charset val="129"/>
      </rPr>
      <t>) — [</t>
    </r>
    <r>
      <rPr>
        <sz val="11"/>
        <color rgb="FF1E1E1E"/>
        <rFont val="Noto Sans CJK SC"/>
        <family val="2"/>
      </rPr>
      <t>예시</t>
    </r>
    <r>
      <rPr>
        <sz val="11"/>
        <color rgb="FF1E1E1E"/>
        <rFont val="맑은 고딕"/>
        <family val="2"/>
        <charset val="129"/>
      </rPr>
      <t xml:space="preserve">] </t>
    </r>
    <r>
      <rPr>
        <sz val="11"/>
        <color rgb="FF1E1E1E"/>
        <rFont val="Noto Sans CJK SC"/>
        <family val="2"/>
      </rPr>
      <t>행을 팀 작업으로 교체</t>
    </r>
  </si>
  <si>
    <r>
      <rPr>
        <sz val="11"/>
        <color rgb="FF1E1E1E"/>
        <rFont val="Noto Sans CJK SC"/>
        <family val="2"/>
      </rPr>
      <t xml:space="preserve">□ 각 작업에 시작일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종료일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담당자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>상태 기재</t>
    </r>
  </si>
  <si>
    <r>
      <rPr>
        <sz val="11"/>
        <color rgb="FF1E1E1E"/>
        <rFont val="Noto Sans CJK SC"/>
        <family val="2"/>
      </rPr>
      <t xml:space="preserve">□ 작업 </t>
    </r>
    <r>
      <rPr>
        <sz val="11"/>
        <color rgb="FF1E1E1E"/>
        <rFont val="맑은 고딕"/>
        <family val="2"/>
        <charset val="129"/>
      </rPr>
      <t xml:space="preserve">ID </t>
    </r>
    <r>
      <rPr>
        <sz val="11"/>
        <color rgb="FF1E1E1E"/>
        <rFont val="Noto Sans CJK SC"/>
        <family val="2"/>
      </rPr>
      <t xml:space="preserve">체계 준수 </t>
    </r>
    <r>
      <rPr>
        <sz val="11"/>
        <color rgb="FF1E1E1E"/>
        <rFont val="맑은 고딕"/>
        <family val="2"/>
        <charset val="129"/>
      </rPr>
      <t>(BE- / FE- / DB- / DOC- / ★-)</t>
    </r>
  </si>
  <si>
    <r>
      <rPr>
        <sz val="11"/>
        <color rgb="FF1E1E1E"/>
        <rFont val="Noto Sans CJK SC"/>
        <family val="2"/>
      </rPr>
      <t xml:space="preserve">□ 간트 바 컬러 확인 </t>
    </r>
    <r>
      <rPr>
        <sz val="11"/>
        <color rgb="FF1E1E1E"/>
        <rFont val="맑은 고딕"/>
        <family val="2"/>
        <charset val="129"/>
      </rPr>
      <t>(</t>
    </r>
    <r>
      <rPr>
        <sz val="11"/>
        <color rgb="FF1E1E1E"/>
        <rFont val="Noto Sans CJK SC"/>
        <family val="2"/>
      </rPr>
      <t>분류별 컬러 유지</t>
    </r>
    <r>
      <rPr>
        <sz val="11"/>
        <color rgb="FF1E1E1E"/>
        <rFont val="맑은 고딕"/>
        <family val="2"/>
        <charset val="129"/>
      </rPr>
      <t>)</t>
    </r>
  </si>
  <si>
    <r>
      <rPr>
        <sz val="11"/>
        <color rgb="FF1E1E1E"/>
        <rFont val="Noto Sans CJK SC"/>
        <family val="2"/>
      </rPr>
      <t xml:space="preserve">□ 팀원별 작업량 확인 </t>
    </r>
    <r>
      <rPr>
        <sz val="11"/>
        <color rgb="FF1E1E1E"/>
        <rFont val="맑은 고딕"/>
        <family val="2"/>
        <charset val="129"/>
      </rPr>
      <t>('3_</t>
    </r>
    <r>
      <rPr>
        <sz val="11"/>
        <color rgb="FF1E1E1E"/>
        <rFont val="Noto Sans CJK SC"/>
        <family val="2"/>
      </rPr>
      <t>팀원별</t>
    </r>
    <r>
      <rPr>
        <sz val="11"/>
        <color rgb="FF1E1E1E"/>
        <rFont val="맑은 고딕"/>
        <family val="2"/>
        <charset val="129"/>
      </rPr>
      <t>_</t>
    </r>
    <r>
      <rPr>
        <sz val="11"/>
        <color rgb="FF1E1E1E"/>
        <rFont val="Noto Sans CJK SC"/>
        <family val="2"/>
      </rPr>
      <t>집계</t>
    </r>
    <r>
      <rPr>
        <sz val="11"/>
        <color rgb="FF1E1E1E"/>
        <rFont val="맑은 고딕"/>
        <family val="2"/>
        <charset val="129"/>
      </rPr>
      <t xml:space="preserve">' </t>
    </r>
    <r>
      <rPr>
        <sz val="11"/>
        <color rgb="FF1E1E1E"/>
        <rFont val="Noto Sans CJK SC"/>
        <family val="2"/>
      </rPr>
      <t>시트</t>
    </r>
    <r>
      <rPr>
        <sz val="11"/>
        <color rgb="FF1E1E1E"/>
        <rFont val="맑은 고딕"/>
        <family val="2"/>
        <charset val="129"/>
      </rPr>
      <t xml:space="preserve">) · </t>
    </r>
    <r>
      <rPr>
        <sz val="11"/>
        <color rgb="FF1E1E1E"/>
        <rFont val="Noto Sans CJK SC"/>
        <family val="2"/>
      </rPr>
      <t>편중 여부 점검</t>
    </r>
  </si>
  <si>
    <r>
      <rPr>
        <sz val="11"/>
        <color rgb="FF1E1E1E"/>
        <rFont val="Noto Sans CJK SC"/>
        <family val="2"/>
      </rPr>
      <t xml:space="preserve">□ 리스크 </t>
    </r>
    <r>
      <rPr>
        <sz val="11"/>
        <color rgb="FF1E1E1E"/>
        <rFont val="맑은 고딕"/>
        <family val="2"/>
        <charset val="129"/>
      </rPr>
      <t>3</t>
    </r>
    <r>
      <rPr>
        <sz val="11"/>
        <color rgb="FF1E1E1E"/>
        <rFont val="Noto Sans CJK SC"/>
        <family val="2"/>
      </rPr>
      <t xml:space="preserve">개 이상 작성 </t>
    </r>
    <r>
      <rPr>
        <sz val="11"/>
        <color rgb="FF1E1E1E"/>
        <rFont val="맑은 고딕"/>
        <family val="2"/>
        <charset val="129"/>
      </rPr>
      <t>('4_</t>
    </r>
    <r>
      <rPr>
        <sz val="11"/>
        <color rgb="FF1E1E1E"/>
        <rFont val="Noto Sans CJK SC"/>
        <family val="2"/>
      </rPr>
      <t>리스크</t>
    </r>
    <r>
      <rPr>
        <sz val="11"/>
        <color rgb="FF1E1E1E"/>
        <rFont val="맑은 고딕"/>
        <family val="2"/>
        <charset val="129"/>
      </rPr>
      <t>_</t>
    </r>
    <r>
      <rPr>
        <sz val="11"/>
        <color rgb="FF1E1E1E"/>
        <rFont val="Noto Sans CJK SC"/>
        <family val="2"/>
      </rPr>
      <t>관리</t>
    </r>
    <r>
      <rPr>
        <sz val="11"/>
        <color rgb="FF1E1E1E"/>
        <rFont val="맑은 고딕"/>
        <family val="2"/>
        <charset val="129"/>
      </rPr>
      <t xml:space="preserve">' </t>
    </r>
    <r>
      <rPr>
        <sz val="11"/>
        <color rgb="FF1E1E1E"/>
        <rFont val="Noto Sans CJK SC"/>
        <family val="2"/>
      </rPr>
      <t>시트</t>
    </r>
    <r>
      <rPr>
        <sz val="11"/>
        <color rgb="FF1E1E1E"/>
        <rFont val="맑은 고딕"/>
        <family val="2"/>
        <charset val="129"/>
      </rPr>
      <t>)</t>
    </r>
  </si>
  <si>
    <r>
      <rPr>
        <sz val="11"/>
        <color rgb="FF1E1E1E"/>
        <rFont val="Noto Sans CJK SC"/>
        <family val="2"/>
      </rPr>
      <t xml:space="preserve">□ 회의 </t>
    </r>
    <r>
      <rPr>
        <sz val="11"/>
        <color rgb="FF1E1E1E"/>
        <rFont val="맑은 고딕"/>
        <family val="2"/>
        <charset val="129"/>
      </rPr>
      <t xml:space="preserve">· </t>
    </r>
    <r>
      <rPr>
        <sz val="11"/>
        <color rgb="FF1E1E1E"/>
        <rFont val="Noto Sans CJK SC"/>
        <family val="2"/>
      </rPr>
      <t xml:space="preserve">협업 규칙 확정 </t>
    </r>
    <r>
      <rPr>
        <sz val="11"/>
        <color rgb="FF1E1E1E"/>
        <rFont val="맑은 고딕"/>
        <family val="2"/>
        <charset val="129"/>
      </rPr>
      <t>('5_</t>
    </r>
    <r>
      <rPr>
        <sz val="11"/>
        <color rgb="FF1E1E1E"/>
        <rFont val="Noto Sans CJK SC"/>
        <family val="2"/>
      </rPr>
      <t>협업</t>
    </r>
    <r>
      <rPr>
        <sz val="11"/>
        <color rgb="FF1E1E1E"/>
        <rFont val="맑은 고딕"/>
        <family val="2"/>
        <charset val="129"/>
      </rPr>
      <t>_</t>
    </r>
    <r>
      <rPr>
        <sz val="11"/>
        <color rgb="FF1E1E1E"/>
        <rFont val="Noto Sans CJK SC"/>
        <family val="2"/>
      </rPr>
      <t>규칙</t>
    </r>
    <r>
      <rPr>
        <sz val="11"/>
        <color rgb="FF1E1E1E"/>
        <rFont val="맑은 고딕"/>
        <family val="2"/>
        <charset val="129"/>
      </rPr>
      <t xml:space="preserve">' </t>
    </r>
    <r>
      <rPr>
        <sz val="11"/>
        <color rgb="FF1E1E1E"/>
        <rFont val="Noto Sans CJK SC"/>
        <family val="2"/>
      </rPr>
      <t>시트</t>
    </r>
    <r>
      <rPr>
        <sz val="11"/>
        <color rgb="FF1E1E1E"/>
        <rFont val="맑은 고딕"/>
        <family val="2"/>
        <charset val="129"/>
      </rPr>
      <t>)</t>
    </r>
  </si>
  <si>
    <r>
      <rPr>
        <sz val="11"/>
        <color rgb="FF1E1E1E"/>
        <rFont val="Noto Sans CJK SC"/>
        <family val="2"/>
      </rPr>
      <t>□ 파일명</t>
    </r>
    <r>
      <rPr>
        <sz val="11"/>
        <color rgb="FF1E1E1E"/>
        <rFont val="맑은 고딕"/>
        <family val="2"/>
        <charset val="129"/>
      </rPr>
      <t>: WBS_</t>
    </r>
    <r>
      <rPr>
        <sz val="11"/>
        <color rgb="FF1E1E1E"/>
        <rFont val="Noto Sans CJK SC"/>
        <family val="2"/>
      </rPr>
      <t>팀명</t>
    </r>
    <r>
      <rPr>
        <sz val="11"/>
        <color rgb="FF1E1E1E"/>
        <rFont val="맑은 고딕"/>
        <family val="2"/>
        <charset val="129"/>
      </rPr>
      <t>.xlsx</t>
    </r>
  </si>
  <si>
    <r>
      <rPr>
        <sz val="11"/>
        <color rgb="FF1E1E1E"/>
        <rFont val="맑은 고딕"/>
        <family val="2"/>
        <charset val="129"/>
      </rPr>
      <t xml:space="preserve">□ docs/ </t>
    </r>
    <r>
      <rPr>
        <sz val="11"/>
        <color rgb="FF1E1E1E"/>
        <rFont val="Noto Sans CJK SC"/>
        <family val="2"/>
      </rPr>
      <t>폴더에 복사본 업로드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</si>
</sst>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2">
    <font>
      <sz val="11"/>
      <color theme="1"/>
      <name val="Calibri"/>
      <family val="2"/>
      <charset val="1"/>
    </font>
    <font>
      <b/>
      <sz val="20"/>
      <color rgb="FF7C3AED"/>
      <name val="맑은 고딕"/>
      <family val="2"/>
      <charset val="129"/>
    </font>
    <font>
      <b/>
      <sz val="20"/>
      <color rgb="FF7C3AED"/>
      <name val="Noto Sans CJK SC"/>
      <family val="2"/>
    </font>
    <font>
      <sz val="11"/>
      <color rgb="FF4A4540"/>
      <name val="맑은 고딕"/>
      <family val="2"/>
      <charset val="129"/>
    </font>
    <font>
      <sz val="11"/>
      <color rgb="FF4A4540"/>
      <name val="Noto Sans CJK SC"/>
      <family val="2"/>
    </font>
    <font>
      <sz val="10"/>
      <color rgb="FF4A4540"/>
      <name val="Noto Sans CJK SC"/>
      <family val="2"/>
    </font>
    <font>
      <sz val="10"/>
      <color rgb="FF4A4540"/>
      <name val="맑은 고딕"/>
      <family val="2"/>
      <charset val="129"/>
    </font>
    <font>
      <b/>
      <sz val="14"/>
      <color rgb="FF7C3AED"/>
      <name val="Noto Sans CJK SC"/>
      <family val="2"/>
    </font>
    <font>
      <b/>
      <sz val="11"/>
      <color rgb="FF1E1E1E"/>
      <name val="Noto Sans CJK SC"/>
      <family val="2"/>
    </font>
    <font>
      <sz val="11"/>
      <color rgb="FF1E1E1E"/>
      <name val="맑은 고딕"/>
      <family val="2"/>
      <charset val="129"/>
    </font>
    <font>
      <sz val="11"/>
      <color rgb="FF1E1E1E"/>
      <name val="Noto Sans CJK SC"/>
      <family val="2"/>
    </font>
    <font>
      <b/>
      <sz val="11"/>
      <color rgb="FF1E1E1E"/>
      <name val="맑은 고딕"/>
      <family val="2"/>
      <charset val="129"/>
    </font>
    <font>
      <b/>
      <sz val="11"/>
      <color rgb="FFFFFFFF"/>
      <name val="Noto Sans CJK SC"/>
      <family val="2"/>
    </font>
    <font>
      <b/>
      <sz val="11"/>
      <color rgb="FF7C3AED"/>
      <name val="맑은 고딕"/>
      <family val="2"/>
      <charset val="129"/>
    </font>
    <font>
      <b/>
      <sz val="11"/>
      <color rgb="FF7C3AED"/>
      <name val="Noto Sans CJK SC"/>
      <family val="2"/>
    </font>
    <font>
      <i/>
      <sz val="10"/>
      <color rgb="FF4A4540"/>
      <name val="맑은 고딕"/>
      <family val="2"/>
      <charset val="129"/>
    </font>
    <font>
      <i/>
      <sz val="10"/>
      <color rgb="FF4A4540"/>
      <name val="Noto Sans CJK SC"/>
      <family val="2"/>
    </font>
    <font>
      <b/>
      <sz val="18"/>
      <color rgb="FF7C3AED"/>
      <name val="맑은 고딕"/>
      <family val="2"/>
      <charset val="129"/>
    </font>
    <font>
      <b/>
      <sz val="18"/>
      <color rgb="FF7C3AED"/>
      <name val="Noto Sans CJK SC"/>
      <family val="2"/>
    </font>
    <font>
      <i/>
      <sz val="9"/>
      <color rgb="FF4A4540"/>
      <name val="맑은 고딕"/>
      <family val="2"/>
      <charset val="129"/>
    </font>
    <font>
      <i/>
      <sz val="9"/>
      <color rgb="FF4A4540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9"/>
      <color rgb="FF2D2926"/>
      <name val="Noto Sans CJK SC"/>
      <family val="2"/>
    </font>
    <font>
      <sz val="8"/>
      <color rgb="FF4A4540"/>
      <name val="맑은 고딕"/>
      <family val="2"/>
      <charset val="129"/>
    </font>
    <font>
      <b/>
      <sz val="9"/>
      <color rgb="FF7C3AED"/>
      <name val="맑은 고딕"/>
      <family val="2"/>
      <charset val="129"/>
    </font>
    <font>
      <b/>
      <sz val="9"/>
      <color rgb="FF7C3AED"/>
      <name val="Noto Sans CJK SC"/>
      <family val="2"/>
    </font>
    <font>
      <sz val="9"/>
      <color rgb="FF1E1E1E"/>
      <name val="Noto Sans CJK SC"/>
      <family val="2"/>
    </font>
    <font>
      <sz val="9"/>
      <color rgb="FF1E1E1E"/>
      <name val="맑은 고딕"/>
      <family val="2"/>
      <charset val="129"/>
    </font>
    <font>
      <b/>
      <sz val="9"/>
      <color rgb="FF2D8C5A"/>
      <name val="Noto Sans CJK SC"/>
      <family val="2"/>
    </font>
    <font>
      <b/>
      <sz val="9"/>
      <color rgb="FFD4860B"/>
      <name val="Noto Sans CJK SC"/>
      <family val="2"/>
    </font>
    <font>
      <sz val="9"/>
      <color rgb="FF4A4540"/>
      <name val="Noto Sans CJK SC"/>
      <family val="2"/>
    </font>
    <font>
      <b/>
      <sz val="9"/>
      <color rgb="FF3B7DD8"/>
      <name val="맑은 고딕"/>
      <family val="2"/>
      <charset val="129"/>
    </font>
    <font>
      <b/>
      <sz val="9"/>
      <color rgb="FF3B7DD8"/>
      <name val="Noto Sans CJK SC"/>
      <family val="2"/>
    </font>
    <font>
      <b/>
      <sz val="9"/>
      <color rgb="FF2D8C5A"/>
      <name val="맑은 고딕"/>
      <family val="2"/>
      <charset val="129"/>
    </font>
    <font>
      <b/>
      <sz val="9"/>
      <color rgb="FFD4860B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1E1E1E"/>
      <name val="Noto Sans CJK SC"/>
      <family val="2"/>
    </font>
    <font>
      <sz val="10"/>
      <color rgb="FF1E1E1E"/>
      <name val="맑은 고딕"/>
      <family val="2"/>
      <charset val="129"/>
    </font>
    <font>
      <b/>
      <sz val="10"/>
      <color rgb="FF2D8C5A"/>
      <name val="Noto Sans CJK SC"/>
      <family val="2"/>
    </font>
    <font>
      <b/>
      <sz val="10"/>
      <color rgb="FFD4860B"/>
      <name val="Noto Sans CJK SC"/>
      <family val="2"/>
    </font>
    <font>
      <b/>
      <sz val="10"/>
      <color rgb="FF4A4540"/>
      <name val="Noto Sans CJK SC"/>
      <family val="2"/>
    </font>
    <font>
      <b/>
      <sz val="10"/>
      <color rgb="FFC54B2A"/>
      <name val="Noto Sans CJK SC"/>
      <family val="2"/>
    </font>
    <font>
      <b/>
      <sz val="11"/>
      <color rgb="FF2D8C5A"/>
      <name val="맑은 고딕"/>
      <family val="2"/>
      <charset val="129"/>
    </font>
    <font>
      <b/>
      <sz val="11"/>
      <color rgb="FF3B7DD8"/>
      <name val="Noto Sans CJK SC"/>
      <family val="2"/>
    </font>
    <font>
      <b/>
      <sz val="11"/>
      <color rgb="FFD4860B"/>
      <name val="Noto Sans CJK SC"/>
      <family val="2"/>
    </font>
    <font>
      <b/>
      <sz val="10"/>
      <color rgb="FF7C3AED"/>
      <name val="맑은 고딕"/>
      <family val="2"/>
      <charset val="129"/>
    </font>
    <font>
      <sz val="10"/>
      <color rgb="FF2D8C5A"/>
      <name val="Noto Sans CJK SC"/>
      <family val="2"/>
    </font>
    <font>
      <b/>
      <sz val="11"/>
      <color rgb="FFD4860B"/>
      <name val="맑은 고딕"/>
      <family val="2"/>
      <charset val="129"/>
    </font>
    <font>
      <b/>
      <sz val="11"/>
      <color rgb="FF2D8C5A"/>
      <name val="Noto Sans CJK SC"/>
      <family val="2"/>
    </font>
    <font>
      <sz val="8"/>
      <name val="나눔명조"/>
      <family val="3"/>
      <charset val="129"/>
    </font>
    <font>
      <b/>
      <sz val="9"/>
      <color rgb="FFFF0000"/>
      <name val="Noto Sans CJK SC"/>
      <family val="2"/>
    </font>
    <font>
      <sz val="8"/>
      <color rgb="FFFF0000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AF7F3"/>
        <bgColor rgb="FFFFF5F0"/>
      </patternFill>
    </fill>
    <fill>
      <patternFill patternType="solid">
        <fgColor rgb="FF2D2926"/>
        <bgColor rgb="FF1E1E1E"/>
      </patternFill>
    </fill>
    <fill>
      <patternFill patternType="solid">
        <fgColor rgb="FF7C3AED"/>
        <bgColor rgb="FF993366"/>
      </patternFill>
    </fill>
    <fill>
      <patternFill patternType="solid">
        <fgColor rgb="FFFFFFFF"/>
        <bgColor rgb="FFFAF7F3"/>
      </patternFill>
    </fill>
    <fill>
      <patternFill patternType="solid">
        <fgColor rgb="FFE8F5E9"/>
        <bgColor rgb="FFFAF7F3"/>
      </patternFill>
    </fill>
    <fill>
      <patternFill patternType="solid">
        <fgColor rgb="FFFFF3E0"/>
        <bgColor rgb="FFFFF5F0"/>
      </patternFill>
    </fill>
    <fill>
      <patternFill patternType="solid">
        <fgColor rgb="FF3B7DD8"/>
        <bgColor rgb="FF0066CC"/>
      </patternFill>
    </fill>
    <fill>
      <patternFill patternType="solid">
        <fgColor rgb="FF2D8C5A"/>
        <bgColor rgb="FF008080"/>
      </patternFill>
    </fill>
    <fill>
      <patternFill patternType="solid">
        <fgColor rgb="FFD4860B"/>
        <bgColor rgb="FFFF6600"/>
      </patternFill>
    </fill>
    <fill>
      <patternFill patternType="solid">
        <fgColor rgb="FFFFEBEE"/>
        <bgColor rgb="FFFFF3E0"/>
      </patternFill>
    </fill>
    <fill>
      <patternFill patternType="solid">
        <fgColor rgb="FFFFF5F0"/>
        <bgColor rgb="FFFAF7F3"/>
      </patternFill>
    </fill>
    <fill>
      <patternFill patternType="solid">
        <fgColor rgb="FFEEE8E0"/>
        <bgColor rgb="FFFFEBEE"/>
      </patternFill>
    </fill>
  </fills>
  <borders count="5">
    <border>
      <left/>
      <right/>
      <top/>
      <bottom/>
      <diagonal/>
    </border>
    <border>
      <left style="thin">
        <color rgb="FFD6CFC7"/>
      </left>
      <right style="thin">
        <color rgb="FFD6CFC7"/>
      </right>
      <top style="thin">
        <color rgb="FFD6CFC7"/>
      </top>
      <bottom style="thin">
        <color rgb="FFD6CFC7"/>
      </bottom>
      <diagonal/>
    </border>
    <border>
      <left style="thin">
        <color rgb="FFD6CFC7"/>
      </left>
      <right style="thin">
        <color rgb="FFD6CFC7"/>
      </right>
      <top style="thin">
        <color rgb="FFD6CFC7"/>
      </top>
      <bottom/>
      <diagonal/>
    </border>
    <border>
      <left style="thin">
        <color rgb="FFD6CFC7"/>
      </left>
      <right/>
      <top style="thin">
        <color rgb="FFD6CFC7"/>
      </top>
      <bottom style="thin">
        <color rgb="FFD6CFC7"/>
      </bottom>
      <diagonal/>
    </border>
    <border>
      <left style="medium">
        <color rgb="FF7C3AED"/>
      </left>
      <right style="thin">
        <color rgb="FFD6CFC7"/>
      </right>
      <top style="thin">
        <color rgb="FFD6CFC7"/>
      </top>
      <bottom style="thin">
        <color rgb="FFD6CFC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0" fillId="0" borderId="0" xfId="0" applyFont="1"/>
    <xf numFmtId="0" fontId="16" fillId="0" borderId="0" xfId="0" applyFont="1"/>
    <xf numFmtId="0" fontId="2" fillId="0" borderId="0" xfId="0" applyFont="1"/>
    <xf numFmtId="0" fontId="20" fillId="0" borderId="0" xfId="0" applyFont="1"/>
    <xf numFmtId="0" fontId="21" fillId="4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7" fillId="0" borderId="0" xfId="0" applyFont="1"/>
    <xf numFmtId="0" fontId="15" fillId="0" borderId="0" xfId="0" applyFont="1"/>
    <xf numFmtId="0" fontId="9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/>
    <xf numFmtId="0" fontId="0" fillId="0" borderId="4" xfId="0" applyBorder="1"/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30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0" fillId="8" borderId="4" xfId="0" applyFill="1" applyBorder="1"/>
    <xf numFmtId="0" fontId="0" fillId="8" borderId="1" xfId="0" applyFill="1" applyBorder="1"/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10" borderId="4" xfId="0" applyFill="1" applyBorder="1"/>
    <xf numFmtId="0" fontId="0" fillId="10" borderId="1" xfId="0" applyFill="1" applyBorder="1"/>
    <xf numFmtId="0" fontId="34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14" fillId="0" borderId="0" xfId="0" applyFont="1"/>
    <xf numFmtId="0" fontId="36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6" fontId="4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4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/>
    <xf numFmtId="0" fontId="13" fillId="12" borderId="1" xfId="0" applyFont="1" applyFill="1" applyBorder="1" applyAlignment="1">
      <alignment horizontal="center" vertical="center" wrapText="1"/>
    </xf>
    <xf numFmtId="176" fontId="13" fillId="1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13" borderId="0" xfId="0" applyFont="1" applyFill="1"/>
    <xf numFmtId="0" fontId="47" fillId="0" borderId="1" xfId="0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9" fillId="0" borderId="0" xfId="0" applyFont="1"/>
    <xf numFmtId="0" fontId="50" fillId="2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7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3"/>
      <rgbColor rgb="FFEEE8E0"/>
      <rgbColor rgb="FFFFF5F0"/>
      <rgbColor rgb="FF99CCFF"/>
      <rgbColor rgb="FFFF99CC"/>
      <rgbColor rgb="FFCC99FF"/>
      <rgbColor rgb="FFFFEBEE"/>
      <rgbColor rgb="FF3B7DD8"/>
      <rgbColor rgb="FF33CCCC"/>
      <rgbColor rgb="FF99CC00"/>
      <rgbColor rgb="FFFFCC00"/>
      <rgbColor rgb="FFD4860B"/>
      <rgbColor rgb="FFFF6600"/>
      <rgbColor rgb="FF7C3AED"/>
      <rgbColor rgb="FF969696"/>
      <rgbColor rgb="FF003366"/>
      <rgbColor rgb="FF2D8C5A"/>
      <rgbColor rgb="FF003300"/>
      <rgbColor rgb="FF1E1E1E"/>
      <rgbColor rgb="FFC54B2A"/>
      <rgbColor rgb="FF993366"/>
      <rgbColor rgb="FF4A4540"/>
      <rgbColor rgb="FF2D29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tabSelected="1" zoomScaleNormal="100" workbookViewId="0">
      <selection activeCell="J7" sqref="J7"/>
    </sheetView>
  </sheetViews>
  <sheetFormatPr baseColWidth="10" defaultColWidth="8.6640625" defaultRowHeight="15"/>
  <cols>
    <col min="1" max="1" width="10" customWidth="1"/>
    <col min="2" max="2" width="14" customWidth="1"/>
    <col min="3" max="3" width="24" customWidth="1"/>
    <col min="4" max="4" width="34" customWidth="1"/>
    <col min="5" max="6" width="14" customWidth="1"/>
  </cols>
  <sheetData>
    <row r="1" spans="1:6" ht="36" customHeight="1">
      <c r="A1" s="14" t="s">
        <v>0</v>
      </c>
      <c r="B1" s="14"/>
      <c r="C1" s="14"/>
      <c r="D1" s="14"/>
      <c r="E1" s="14"/>
      <c r="F1" s="14"/>
    </row>
    <row r="2" spans="1:6" ht="17">
      <c r="A2" s="13" t="s">
        <v>1</v>
      </c>
      <c r="B2" s="13"/>
      <c r="C2" s="13"/>
      <c r="D2" s="13"/>
      <c r="E2" s="13"/>
      <c r="F2" s="13"/>
    </row>
    <row r="3" spans="1:6">
      <c r="A3" s="12" t="s">
        <v>2</v>
      </c>
      <c r="B3" s="12"/>
      <c r="C3" s="12"/>
      <c r="D3" s="12"/>
      <c r="E3" s="12"/>
      <c r="F3" s="12"/>
    </row>
    <row r="5" spans="1:6" ht="18">
      <c r="A5" s="15" t="s">
        <v>3</v>
      </c>
    </row>
    <row r="6" spans="1:6" ht="32.75" customHeight="1">
      <c r="A6" s="16" t="s">
        <v>4</v>
      </c>
      <c r="B6" s="11" t="s">
        <v>5</v>
      </c>
      <c r="C6" s="11"/>
      <c r="D6" s="11"/>
      <c r="E6" s="11"/>
      <c r="F6" s="11"/>
    </row>
    <row r="7" spans="1:6" ht="32.75" customHeight="1">
      <c r="A7" s="16" t="s">
        <v>6</v>
      </c>
      <c r="B7" s="11" t="s">
        <v>7</v>
      </c>
      <c r="C7" s="11"/>
      <c r="D7" s="11"/>
      <c r="E7" s="11"/>
      <c r="F7" s="11"/>
    </row>
    <row r="8" spans="1:6" ht="17.25" customHeight="1">
      <c r="A8" s="16" t="s">
        <v>8</v>
      </c>
      <c r="B8" s="11" t="s">
        <v>9</v>
      </c>
      <c r="C8" s="11"/>
      <c r="D8" s="11"/>
      <c r="E8" s="11"/>
      <c r="F8" s="11"/>
    </row>
    <row r="9" spans="1:6" ht="17.25" customHeight="1">
      <c r="A9" s="16" t="s">
        <v>10</v>
      </c>
      <c r="B9" s="11" t="s">
        <v>11</v>
      </c>
      <c r="C9" s="11"/>
      <c r="D9" s="11"/>
      <c r="E9" s="11"/>
      <c r="F9" s="11"/>
    </row>
    <row r="10" spans="1:6" ht="30.5" customHeight="1">
      <c r="A10" s="18" t="s">
        <v>12</v>
      </c>
      <c r="B10" s="11" t="s">
        <v>13</v>
      </c>
      <c r="C10" s="11"/>
      <c r="D10" s="11"/>
      <c r="E10" s="11"/>
      <c r="F10" s="11"/>
    </row>
    <row r="11" spans="1:6" ht="32.75" customHeight="1">
      <c r="A11" s="16" t="s">
        <v>14</v>
      </c>
      <c r="B11" s="11" t="s">
        <v>15</v>
      </c>
      <c r="C11" s="11"/>
      <c r="D11" s="11"/>
      <c r="E11" s="11"/>
      <c r="F11" s="11"/>
    </row>
    <row r="12" spans="1:6" ht="32.75" customHeight="1">
      <c r="A12" s="16" t="s">
        <v>16</v>
      </c>
      <c r="B12" s="11" t="s">
        <v>17</v>
      </c>
      <c r="C12" s="11"/>
      <c r="D12" s="11"/>
      <c r="E12" s="11"/>
      <c r="F12" s="11"/>
    </row>
    <row r="13" spans="1:6" ht="17.25" customHeight="1">
      <c r="A13" s="16" t="s">
        <v>18</v>
      </c>
      <c r="B13" s="11" t="s">
        <v>19</v>
      </c>
      <c r="C13" s="11"/>
      <c r="D13" s="11"/>
      <c r="E13" s="11"/>
      <c r="F13" s="11"/>
    </row>
    <row r="16" spans="1:6" ht="18">
      <c r="A16" s="15" t="s">
        <v>20</v>
      </c>
    </row>
    <row r="17" spans="1:6" ht="25.5" customHeight="1">
      <c r="A17" s="19" t="s">
        <v>21</v>
      </c>
      <c r="B17" s="19" t="s">
        <v>22</v>
      </c>
      <c r="C17" s="19" t="s">
        <v>23</v>
      </c>
      <c r="D17" s="19" t="s">
        <v>24</v>
      </c>
      <c r="E17" s="19" t="s">
        <v>25</v>
      </c>
      <c r="F17" s="19" t="s">
        <v>26</v>
      </c>
    </row>
    <row r="18" spans="1:6" ht="25.5" customHeight="1">
      <c r="A18" s="20" t="s">
        <v>27</v>
      </c>
      <c r="B18" s="20" t="s">
        <v>28</v>
      </c>
      <c r="C18" s="21" t="s">
        <v>29</v>
      </c>
      <c r="D18" s="22" t="s">
        <v>30</v>
      </c>
      <c r="E18" s="23" t="s">
        <v>31</v>
      </c>
      <c r="F18" s="23" t="s">
        <v>32</v>
      </c>
    </row>
    <row r="19" spans="1:6" ht="25.5" customHeight="1">
      <c r="A19" s="24" t="s">
        <v>33</v>
      </c>
      <c r="B19" s="24" t="s">
        <v>34</v>
      </c>
      <c r="C19" s="25" t="s">
        <v>35</v>
      </c>
      <c r="D19" s="17" t="s">
        <v>36</v>
      </c>
      <c r="E19" s="26" t="s">
        <v>31</v>
      </c>
      <c r="F19" s="26" t="s">
        <v>32</v>
      </c>
    </row>
    <row r="20" spans="1:6" ht="25.5" customHeight="1">
      <c r="A20" s="20" t="s">
        <v>37</v>
      </c>
      <c r="B20" s="20" t="s">
        <v>38</v>
      </c>
      <c r="C20" s="21" t="s">
        <v>39</v>
      </c>
      <c r="D20" s="22" t="s">
        <v>40</v>
      </c>
      <c r="E20" s="23" t="s">
        <v>31</v>
      </c>
      <c r="F20" s="23" t="s">
        <v>32</v>
      </c>
    </row>
    <row r="21" spans="1:6" ht="25.5" customHeight="1">
      <c r="A21" s="24" t="s">
        <v>41</v>
      </c>
      <c r="B21" s="24" t="s">
        <v>42</v>
      </c>
      <c r="C21" s="27" t="s">
        <v>43</v>
      </c>
      <c r="D21" s="28" t="s">
        <v>44</v>
      </c>
      <c r="E21" s="26" t="s">
        <v>45</v>
      </c>
      <c r="F21" s="26" t="s">
        <v>32</v>
      </c>
    </row>
    <row r="22" spans="1:6" ht="25.5" customHeight="1">
      <c r="A22" s="20" t="s">
        <v>46</v>
      </c>
      <c r="B22" s="20" t="s">
        <v>47</v>
      </c>
      <c r="C22" s="29" t="s">
        <v>48</v>
      </c>
      <c r="D22" s="22" t="s">
        <v>49</v>
      </c>
      <c r="E22" s="23" t="s">
        <v>45</v>
      </c>
      <c r="F22" s="23" t="s">
        <v>32</v>
      </c>
    </row>
    <row r="25" spans="1:6">
      <c r="A25" s="10" t="s">
        <v>50</v>
      </c>
      <c r="B25" s="10"/>
      <c r="C25" s="10"/>
      <c r="D25" s="10"/>
      <c r="E25" s="10"/>
      <c r="F25" s="10"/>
    </row>
  </sheetData>
  <mergeCells count="12">
    <mergeCell ref="B13:F13"/>
    <mergeCell ref="A25:F25"/>
    <mergeCell ref="B8:F8"/>
    <mergeCell ref="B9:F9"/>
    <mergeCell ref="B10:F10"/>
    <mergeCell ref="B11:F11"/>
    <mergeCell ref="B12:F12"/>
    <mergeCell ref="A1:F1"/>
    <mergeCell ref="A2:F2"/>
    <mergeCell ref="A3:F3"/>
    <mergeCell ref="B6:F6"/>
    <mergeCell ref="B7:F7"/>
  </mergeCells>
  <phoneticPr fontId="49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32"/>
  <sheetViews>
    <sheetView zoomScaleNormal="100" workbookViewId="0">
      <pane xSplit="8" ySplit="6" topLeftCell="I10" activePane="bottomRight" state="frozen"/>
      <selection pane="topRight" activeCell="I1" sqref="I1"/>
      <selection pane="bottomLeft" activeCell="A7" sqref="A7"/>
      <selection pane="bottomRight" activeCell="AE5" sqref="AE5:AE6"/>
    </sheetView>
  </sheetViews>
  <sheetFormatPr baseColWidth="10" defaultColWidth="8.6640625" defaultRowHeight="15"/>
  <cols>
    <col min="1" max="1" width="9" customWidth="1"/>
    <col min="2" max="2" width="10" customWidth="1"/>
    <col min="3" max="3" width="28" customWidth="1"/>
    <col min="4" max="4" width="13" customWidth="1"/>
    <col min="5" max="6" width="11" customWidth="1"/>
    <col min="7" max="7" width="7" customWidth="1"/>
    <col min="8" max="8" width="9" customWidth="1"/>
    <col min="9" max="43" width="4.5" customWidth="1"/>
  </cols>
  <sheetData>
    <row r="1" spans="1:43" ht="30" customHeight="1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</row>
    <row r="2" spans="1:43">
      <c r="A2" s="8" t="s">
        <v>52</v>
      </c>
      <c r="B2" s="8"/>
      <c r="C2" s="8"/>
      <c r="D2" s="8"/>
      <c r="E2" s="8"/>
      <c r="F2" s="8"/>
      <c r="G2" s="8"/>
      <c r="H2" s="8"/>
      <c r="I2" s="8"/>
      <c r="J2" s="8"/>
    </row>
    <row r="4" spans="1:43" ht="21.75" customHeight="1">
      <c r="A4" s="7" t="s">
        <v>53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5" t="s">
        <v>61</v>
      </c>
      <c r="J4" s="5"/>
      <c r="K4" s="5"/>
      <c r="L4" s="5"/>
      <c r="M4" s="5"/>
      <c r="N4" s="5" t="s">
        <v>62</v>
      </c>
      <c r="O4" s="5"/>
      <c r="P4" s="5"/>
      <c r="Q4" s="5"/>
      <c r="R4" s="5"/>
      <c r="S4" s="5" t="s">
        <v>27</v>
      </c>
      <c r="T4" s="5"/>
      <c r="U4" s="5"/>
      <c r="V4" s="5"/>
      <c r="W4" s="5"/>
      <c r="X4" s="5" t="s">
        <v>33</v>
      </c>
      <c r="Y4" s="5"/>
      <c r="Z4" s="5"/>
      <c r="AA4" s="5"/>
      <c r="AB4" s="5"/>
      <c r="AC4" s="5" t="s">
        <v>37</v>
      </c>
      <c r="AD4" s="5"/>
      <c r="AE4" s="5"/>
      <c r="AF4" s="5"/>
      <c r="AG4" s="5"/>
      <c r="AH4" s="5" t="s">
        <v>41</v>
      </c>
      <c r="AI4" s="5"/>
      <c r="AJ4" s="5"/>
      <c r="AK4" s="5"/>
      <c r="AL4" s="5"/>
      <c r="AM4" s="5" t="s">
        <v>46</v>
      </c>
      <c r="AN4" s="5"/>
      <c r="AO4" s="5"/>
      <c r="AP4" s="5"/>
      <c r="AQ4" s="5"/>
    </row>
    <row r="5" spans="1:43" ht="18" customHeight="1">
      <c r="A5" s="7"/>
      <c r="B5" s="7"/>
      <c r="C5" s="7"/>
      <c r="D5" s="7"/>
      <c r="E5" s="7"/>
      <c r="F5" s="7"/>
      <c r="G5" s="7"/>
      <c r="H5" s="7"/>
      <c r="I5" s="30" t="s">
        <v>63</v>
      </c>
      <c r="J5" s="111" t="s">
        <v>64</v>
      </c>
      <c r="K5" s="30" t="s">
        <v>65</v>
      </c>
      <c r="L5" s="30" t="s">
        <v>66</v>
      </c>
      <c r="M5" s="30" t="s">
        <v>67</v>
      </c>
      <c r="N5" s="30" t="s">
        <v>63</v>
      </c>
      <c r="O5" s="30" t="s">
        <v>64</v>
      </c>
      <c r="P5" s="30" t="s">
        <v>65</v>
      </c>
      <c r="Q5" s="30" t="s">
        <v>66</v>
      </c>
      <c r="R5" s="30" t="s">
        <v>67</v>
      </c>
      <c r="S5" s="30" t="s">
        <v>63</v>
      </c>
      <c r="T5" s="30" t="s">
        <v>64</v>
      </c>
      <c r="U5" s="30" t="s">
        <v>65</v>
      </c>
      <c r="V5" s="30" t="s">
        <v>66</v>
      </c>
      <c r="W5" s="30" t="s">
        <v>67</v>
      </c>
      <c r="X5" s="111" t="s">
        <v>63</v>
      </c>
      <c r="Y5" s="30" t="s">
        <v>64</v>
      </c>
      <c r="Z5" s="30" t="s">
        <v>65</v>
      </c>
      <c r="AA5" s="30" t="s">
        <v>66</v>
      </c>
      <c r="AB5" s="30" t="s">
        <v>67</v>
      </c>
      <c r="AC5" s="30" t="s">
        <v>63</v>
      </c>
      <c r="AD5" s="30" t="s">
        <v>64</v>
      </c>
      <c r="AE5" s="111" t="s">
        <v>65</v>
      </c>
      <c r="AF5" s="30" t="s">
        <v>66</v>
      </c>
      <c r="AG5" s="30" t="s">
        <v>67</v>
      </c>
      <c r="AH5" s="30" t="s">
        <v>63</v>
      </c>
      <c r="AI5" s="30" t="s">
        <v>64</v>
      </c>
      <c r="AJ5" s="30" t="s">
        <v>65</v>
      </c>
      <c r="AK5" s="30" t="s">
        <v>66</v>
      </c>
      <c r="AL5" s="30" t="s">
        <v>67</v>
      </c>
      <c r="AM5" s="30" t="s">
        <v>63</v>
      </c>
      <c r="AN5" s="30" t="s">
        <v>64</v>
      </c>
      <c r="AO5" s="30" t="s">
        <v>65</v>
      </c>
      <c r="AP5" s="30" t="s">
        <v>66</v>
      </c>
      <c r="AQ5" s="30" t="s">
        <v>67</v>
      </c>
    </row>
    <row r="6" spans="1:43" ht="18" customHeight="1">
      <c r="A6" s="7"/>
      <c r="B6" s="7"/>
      <c r="C6" s="7"/>
      <c r="D6" s="7"/>
      <c r="E6" s="7"/>
      <c r="F6" s="7"/>
      <c r="G6" s="7"/>
      <c r="H6" s="7"/>
      <c r="I6" s="31" t="s">
        <v>68</v>
      </c>
      <c r="J6" s="112" t="s">
        <v>69</v>
      </c>
      <c r="K6" s="31" t="s">
        <v>70</v>
      </c>
      <c r="L6" s="31" t="s">
        <v>71</v>
      </c>
      <c r="M6" s="31" t="s">
        <v>72</v>
      </c>
      <c r="N6" s="31" t="s">
        <v>73</v>
      </c>
      <c r="O6" s="31" t="s">
        <v>74</v>
      </c>
      <c r="P6" s="31" t="s">
        <v>75</v>
      </c>
      <c r="Q6" s="31" t="s">
        <v>76</v>
      </c>
      <c r="R6" s="31" t="s">
        <v>77</v>
      </c>
      <c r="S6" s="31" t="s">
        <v>78</v>
      </c>
      <c r="T6" s="31" t="s">
        <v>79</v>
      </c>
      <c r="U6" s="31" t="s">
        <v>80</v>
      </c>
      <c r="V6" s="31" t="s">
        <v>81</v>
      </c>
      <c r="W6" s="31" t="s">
        <v>82</v>
      </c>
      <c r="X6" s="112" t="s">
        <v>83</v>
      </c>
      <c r="Y6" s="31" t="s">
        <v>84</v>
      </c>
      <c r="Z6" s="31" t="s">
        <v>85</v>
      </c>
      <c r="AA6" s="31" t="s">
        <v>86</v>
      </c>
      <c r="AB6" s="31" t="s">
        <v>87</v>
      </c>
      <c r="AC6" s="31" t="s">
        <v>88</v>
      </c>
      <c r="AD6" s="31" t="s">
        <v>89</v>
      </c>
      <c r="AE6" s="112" t="s">
        <v>90</v>
      </c>
      <c r="AF6" s="31" t="s">
        <v>91</v>
      </c>
      <c r="AG6" s="31" t="s">
        <v>92</v>
      </c>
      <c r="AH6" s="31" t="s">
        <v>93</v>
      </c>
      <c r="AI6" s="31" t="s">
        <v>94</v>
      </c>
      <c r="AJ6" s="31" t="s">
        <v>95</v>
      </c>
      <c r="AK6" s="31" t="s">
        <v>96</v>
      </c>
      <c r="AL6" s="31" t="s">
        <v>97</v>
      </c>
      <c r="AM6" s="31" t="s">
        <v>98</v>
      </c>
      <c r="AN6" s="31" t="s">
        <v>99</v>
      </c>
      <c r="AO6" s="31" t="s">
        <v>100</v>
      </c>
      <c r="AP6" s="31" t="s">
        <v>101</v>
      </c>
      <c r="AQ6" s="31" t="s">
        <v>102</v>
      </c>
    </row>
    <row r="7" spans="1:43" ht="21.75" customHeight="1">
      <c r="A7" s="32" t="s">
        <v>103</v>
      </c>
      <c r="B7" s="33" t="s">
        <v>104</v>
      </c>
      <c r="C7" s="34" t="s">
        <v>105</v>
      </c>
      <c r="D7" s="35" t="s">
        <v>106</v>
      </c>
      <c r="E7" s="36" t="s">
        <v>107</v>
      </c>
      <c r="F7" s="36" t="s">
        <v>108</v>
      </c>
      <c r="G7" s="35">
        <v>2</v>
      </c>
      <c r="H7" s="37" t="s">
        <v>109</v>
      </c>
      <c r="I7" s="38"/>
      <c r="J7" s="38"/>
      <c r="K7" s="39"/>
      <c r="L7" s="39"/>
      <c r="M7" s="39"/>
      <c r="N7" s="40"/>
      <c r="O7" s="39"/>
      <c r="P7" s="39"/>
      <c r="Q7" s="39"/>
      <c r="R7" s="39"/>
      <c r="S7" s="40"/>
      <c r="T7" s="39"/>
      <c r="U7" s="39"/>
      <c r="V7" s="39"/>
      <c r="W7" s="39"/>
      <c r="X7" s="40"/>
      <c r="Y7" s="39"/>
      <c r="Z7" s="39"/>
      <c r="AA7" s="39"/>
      <c r="AB7" s="39"/>
      <c r="AC7" s="40"/>
      <c r="AD7" s="39"/>
      <c r="AE7" s="39"/>
      <c r="AF7" s="39"/>
      <c r="AG7" s="39"/>
      <c r="AH7" s="40"/>
      <c r="AI7" s="39"/>
      <c r="AJ7" s="39"/>
      <c r="AK7" s="39"/>
      <c r="AL7" s="39"/>
      <c r="AM7" s="40"/>
      <c r="AN7" s="39"/>
      <c r="AO7" s="39"/>
      <c r="AP7" s="39"/>
      <c r="AQ7" s="39"/>
    </row>
    <row r="8" spans="1:43" ht="21.75" customHeight="1">
      <c r="A8" s="41" t="s">
        <v>110</v>
      </c>
      <c r="B8" s="42" t="s">
        <v>104</v>
      </c>
      <c r="C8" s="43" t="s">
        <v>111</v>
      </c>
      <c r="D8" s="44" t="s">
        <v>106</v>
      </c>
      <c r="E8" s="45" t="s">
        <v>112</v>
      </c>
      <c r="F8" s="45" t="s">
        <v>113</v>
      </c>
      <c r="G8" s="44">
        <v>7</v>
      </c>
      <c r="H8" s="46" t="s">
        <v>114</v>
      </c>
      <c r="I8" s="39"/>
      <c r="J8" s="39"/>
      <c r="K8" s="38"/>
      <c r="L8" s="38"/>
      <c r="M8" s="38"/>
      <c r="N8" s="47"/>
      <c r="O8" s="38"/>
      <c r="P8" s="39"/>
      <c r="Q8" s="39"/>
      <c r="R8" s="39"/>
      <c r="S8" s="40"/>
      <c r="T8" s="39"/>
      <c r="U8" s="39"/>
      <c r="V8" s="39"/>
      <c r="W8" s="39"/>
      <c r="X8" s="40"/>
      <c r="Y8" s="39"/>
      <c r="Z8" s="39"/>
      <c r="AA8" s="39"/>
      <c r="AB8" s="39"/>
      <c r="AC8" s="40"/>
      <c r="AD8" s="39"/>
      <c r="AE8" s="39"/>
      <c r="AF8" s="39"/>
      <c r="AG8" s="39"/>
      <c r="AH8" s="40"/>
      <c r="AI8" s="39"/>
      <c r="AJ8" s="39"/>
      <c r="AK8" s="39"/>
      <c r="AL8" s="39"/>
      <c r="AM8" s="40"/>
      <c r="AN8" s="39"/>
      <c r="AO8" s="39"/>
      <c r="AP8" s="39"/>
      <c r="AQ8" s="39"/>
    </row>
    <row r="9" spans="1:43" ht="21.75" customHeight="1">
      <c r="A9" s="32" t="s">
        <v>115</v>
      </c>
      <c r="B9" s="33" t="s">
        <v>104</v>
      </c>
      <c r="C9" s="34" t="s">
        <v>116</v>
      </c>
      <c r="D9" s="35" t="s">
        <v>106</v>
      </c>
      <c r="E9" s="36" t="s">
        <v>117</v>
      </c>
      <c r="F9" s="36" t="s">
        <v>118</v>
      </c>
      <c r="G9" s="35">
        <v>3</v>
      </c>
      <c r="H9" s="48" t="s">
        <v>32</v>
      </c>
      <c r="I9" s="39"/>
      <c r="J9" s="39"/>
      <c r="K9" s="39"/>
      <c r="L9" s="39"/>
      <c r="M9" s="39"/>
      <c r="N9" s="40"/>
      <c r="O9" s="39"/>
      <c r="P9" s="38"/>
      <c r="Q9" s="38"/>
      <c r="R9" s="38"/>
      <c r="S9" s="40"/>
      <c r="T9" s="39"/>
      <c r="U9" s="39"/>
      <c r="V9" s="39"/>
      <c r="W9" s="39"/>
      <c r="X9" s="40"/>
      <c r="Y9" s="39"/>
      <c r="Z9" s="39"/>
      <c r="AA9" s="39"/>
      <c r="AB9" s="39"/>
      <c r="AC9" s="40"/>
      <c r="AD9" s="39"/>
      <c r="AE9" s="39"/>
      <c r="AF9" s="39"/>
      <c r="AG9" s="39"/>
      <c r="AH9" s="40"/>
      <c r="AI9" s="39"/>
      <c r="AJ9" s="39"/>
      <c r="AK9" s="39"/>
      <c r="AL9" s="39"/>
      <c r="AM9" s="40"/>
      <c r="AN9" s="39"/>
      <c r="AO9" s="39"/>
      <c r="AP9" s="39"/>
      <c r="AQ9" s="39"/>
    </row>
    <row r="10" spans="1:43" ht="21.75" customHeight="1">
      <c r="A10" s="41" t="s">
        <v>119</v>
      </c>
      <c r="B10" s="42" t="s">
        <v>104</v>
      </c>
      <c r="C10" s="43" t="s">
        <v>120</v>
      </c>
      <c r="D10" s="44" t="s">
        <v>121</v>
      </c>
      <c r="E10" s="45" t="s">
        <v>122</v>
      </c>
      <c r="F10" s="45" t="s">
        <v>118</v>
      </c>
      <c r="G10" s="44">
        <v>5</v>
      </c>
      <c r="H10" s="49" t="s">
        <v>32</v>
      </c>
      <c r="I10" s="39"/>
      <c r="J10" s="39"/>
      <c r="K10" s="39"/>
      <c r="L10" s="39"/>
      <c r="M10" s="39"/>
      <c r="N10" s="47"/>
      <c r="O10" s="38"/>
      <c r="P10" s="38"/>
      <c r="Q10" s="38"/>
      <c r="R10" s="38"/>
      <c r="S10" s="40"/>
      <c r="T10" s="39"/>
      <c r="U10" s="39"/>
      <c r="V10" s="39"/>
      <c r="W10" s="39"/>
      <c r="X10" s="40"/>
      <c r="Y10" s="39"/>
      <c r="Z10" s="39"/>
      <c r="AA10" s="39"/>
      <c r="AB10" s="39"/>
      <c r="AC10" s="40"/>
      <c r="AD10" s="39"/>
      <c r="AE10" s="39"/>
      <c r="AF10" s="39"/>
      <c r="AG10" s="39"/>
      <c r="AH10" s="40"/>
      <c r="AI10" s="39"/>
      <c r="AJ10" s="39"/>
      <c r="AK10" s="39"/>
      <c r="AL10" s="39"/>
      <c r="AM10" s="40"/>
      <c r="AN10" s="39"/>
      <c r="AO10" s="39"/>
      <c r="AP10" s="39"/>
      <c r="AQ10" s="39"/>
    </row>
    <row r="11" spans="1:43" ht="21.75" customHeight="1">
      <c r="A11" s="32" t="s">
        <v>123</v>
      </c>
      <c r="B11" s="33" t="s">
        <v>104</v>
      </c>
      <c r="C11" s="50" t="s">
        <v>124</v>
      </c>
      <c r="D11" s="35" t="s">
        <v>125</v>
      </c>
      <c r="E11" s="36" t="s">
        <v>126</v>
      </c>
      <c r="F11" s="36" t="s">
        <v>127</v>
      </c>
      <c r="G11" s="35">
        <v>6</v>
      </c>
      <c r="H11" s="48" t="s">
        <v>32</v>
      </c>
      <c r="I11" s="39"/>
      <c r="J11" s="39"/>
      <c r="K11" s="39"/>
      <c r="L11" s="39"/>
      <c r="M11" s="39"/>
      <c r="N11" s="40"/>
      <c r="O11" s="39"/>
      <c r="P11" s="39"/>
      <c r="Q11" s="38"/>
      <c r="R11" s="38"/>
      <c r="S11" s="47"/>
      <c r="T11" s="38"/>
      <c r="U11" s="39"/>
      <c r="V11" s="39"/>
      <c r="W11" s="39"/>
      <c r="X11" s="40"/>
      <c r="Y11" s="39"/>
      <c r="Z11" s="39"/>
      <c r="AA11" s="39"/>
      <c r="AB11" s="39"/>
      <c r="AC11" s="40"/>
      <c r="AD11" s="39"/>
      <c r="AE11" s="39"/>
      <c r="AF11" s="39"/>
      <c r="AG11" s="39"/>
      <c r="AH11" s="40"/>
      <c r="AI11" s="39"/>
      <c r="AJ11" s="39"/>
      <c r="AK11" s="39"/>
      <c r="AL11" s="39"/>
      <c r="AM11" s="40"/>
      <c r="AN11" s="39"/>
      <c r="AO11" s="39"/>
      <c r="AP11" s="39"/>
      <c r="AQ11" s="39"/>
    </row>
    <row r="12" spans="1:43" ht="21.75" customHeight="1">
      <c r="A12" s="41" t="s">
        <v>128</v>
      </c>
      <c r="B12" s="42" t="s">
        <v>104</v>
      </c>
      <c r="C12" s="43" t="s">
        <v>129</v>
      </c>
      <c r="D12" s="44" t="s">
        <v>45</v>
      </c>
      <c r="E12" s="45" t="s">
        <v>130</v>
      </c>
      <c r="F12" s="45" t="s">
        <v>131</v>
      </c>
      <c r="G12" s="44">
        <v>4</v>
      </c>
      <c r="H12" s="49" t="s">
        <v>32</v>
      </c>
      <c r="I12" s="39"/>
      <c r="J12" s="39"/>
      <c r="K12" s="39"/>
      <c r="L12" s="39"/>
      <c r="M12" s="39"/>
      <c r="N12" s="40"/>
      <c r="O12" s="39"/>
      <c r="P12" s="39"/>
      <c r="Q12" s="39"/>
      <c r="R12" s="39"/>
      <c r="S12" s="47"/>
      <c r="T12" s="38"/>
      <c r="U12" s="38"/>
      <c r="V12" s="38"/>
      <c r="W12" s="39"/>
      <c r="X12" s="40"/>
      <c r="Y12" s="39"/>
      <c r="Z12" s="39"/>
      <c r="AA12" s="39"/>
      <c r="AB12" s="39"/>
      <c r="AC12" s="40"/>
      <c r="AD12" s="39"/>
      <c r="AE12" s="39"/>
      <c r="AF12" s="39"/>
      <c r="AG12" s="39"/>
      <c r="AH12" s="40"/>
      <c r="AI12" s="39"/>
      <c r="AJ12" s="39"/>
      <c r="AK12" s="39"/>
      <c r="AL12" s="39"/>
      <c r="AM12" s="40"/>
      <c r="AN12" s="39"/>
      <c r="AO12" s="39"/>
      <c r="AP12" s="39"/>
      <c r="AQ12" s="39"/>
    </row>
    <row r="13" spans="1:43" ht="21.75" customHeight="1">
      <c r="A13" s="32" t="s">
        <v>132</v>
      </c>
      <c r="B13" s="33" t="s">
        <v>104</v>
      </c>
      <c r="C13" s="34" t="s">
        <v>133</v>
      </c>
      <c r="D13" s="35" t="s">
        <v>121</v>
      </c>
      <c r="E13" s="36" t="s">
        <v>134</v>
      </c>
      <c r="F13" s="36" t="s">
        <v>135</v>
      </c>
      <c r="G13" s="35">
        <v>5</v>
      </c>
      <c r="H13" s="48" t="s">
        <v>32</v>
      </c>
      <c r="I13" s="39"/>
      <c r="J13" s="39"/>
      <c r="K13" s="39"/>
      <c r="L13" s="39"/>
      <c r="M13" s="39"/>
      <c r="N13" s="40"/>
      <c r="O13" s="39"/>
      <c r="P13" s="39"/>
      <c r="Q13" s="39"/>
      <c r="R13" s="39"/>
      <c r="S13" s="40"/>
      <c r="T13" s="39"/>
      <c r="U13" s="39"/>
      <c r="V13" s="39"/>
      <c r="W13" s="38"/>
      <c r="X13" s="47"/>
      <c r="Y13" s="38"/>
      <c r="Z13" s="39"/>
      <c r="AA13" s="39"/>
      <c r="AB13" s="39"/>
      <c r="AC13" s="40"/>
      <c r="AD13" s="39"/>
      <c r="AE13" s="39"/>
      <c r="AF13" s="39"/>
      <c r="AG13" s="39"/>
      <c r="AH13" s="40"/>
      <c r="AI13" s="39"/>
      <c r="AJ13" s="39"/>
      <c r="AK13" s="39"/>
      <c r="AL13" s="39"/>
      <c r="AM13" s="40"/>
      <c r="AN13" s="39"/>
      <c r="AO13" s="39"/>
      <c r="AP13" s="39"/>
      <c r="AQ13" s="39"/>
    </row>
    <row r="14" spans="1:43" ht="21.75" customHeight="1">
      <c r="A14" s="51" t="s">
        <v>136</v>
      </c>
      <c r="B14" s="52" t="s">
        <v>137</v>
      </c>
      <c r="C14" s="53" t="s">
        <v>138</v>
      </c>
      <c r="D14" s="44" t="s">
        <v>139</v>
      </c>
      <c r="E14" s="45" t="s">
        <v>122</v>
      </c>
      <c r="F14" s="45" t="s">
        <v>113</v>
      </c>
      <c r="G14" s="44">
        <v>2</v>
      </c>
      <c r="H14" s="49" t="s">
        <v>32</v>
      </c>
      <c r="I14" s="39"/>
      <c r="J14" s="39"/>
      <c r="K14" s="39"/>
      <c r="L14" s="39"/>
      <c r="M14" s="39"/>
      <c r="N14" s="54"/>
      <c r="O14" s="55"/>
      <c r="P14" s="39"/>
      <c r="Q14" s="39"/>
      <c r="R14" s="39"/>
      <c r="S14" s="40"/>
      <c r="T14" s="39"/>
      <c r="U14" s="39"/>
      <c r="V14" s="39"/>
      <c r="W14" s="39"/>
      <c r="X14" s="40"/>
      <c r="Y14" s="39"/>
      <c r="Z14" s="39"/>
      <c r="AA14" s="39"/>
      <c r="AB14" s="39"/>
      <c r="AC14" s="40"/>
      <c r="AD14" s="39"/>
      <c r="AE14" s="39"/>
      <c r="AF14" s="39"/>
      <c r="AG14" s="39"/>
      <c r="AH14" s="40"/>
      <c r="AI14" s="39"/>
      <c r="AJ14" s="39"/>
      <c r="AK14" s="39"/>
      <c r="AL14" s="39"/>
      <c r="AM14" s="40"/>
      <c r="AN14" s="39"/>
      <c r="AO14" s="39"/>
      <c r="AP14" s="39"/>
      <c r="AQ14" s="39"/>
    </row>
    <row r="15" spans="1:43" ht="21.75" customHeight="1">
      <c r="A15" s="56" t="s">
        <v>140</v>
      </c>
      <c r="B15" s="57" t="s">
        <v>137</v>
      </c>
      <c r="C15" s="34" t="s">
        <v>141</v>
      </c>
      <c r="D15" s="35" t="s">
        <v>125</v>
      </c>
      <c r="E15" s="36" t="s">
        <v>117</v>
      </c>
      <c r="F15" s="36" t="s">
        <v>126</v>
      </c>
      <c r="G15" s="35">
        <v>2</v>
      </c>
      <c r="H15" s="48" t="s">
        <v>32</v>
      </c>
      <c r="I15" s="39"/>
      <c r="J15" s="39"/>
      <c r="K15" s="39"/>
      <c r="L15" s="39"/>
      <c r="M15" s="39"/>
      <c r="N15" s="40"/>
      <c r="O15" s="39"/>
      <c r="P15" s="55"/>
      <c r="Q15" s="55"/>
      <c r="R15" s="39"/>
      <c r="S15" s="40"/>
      <c r="T15" s="39"/>
      <c r="U15" s="39"/>
      <c r="V15" s="39"/>
      <c r="W15" s="39"/>
      <c r="X15" s="40"/>
      <c r="Y15" s="39"/>
      <c r="Z15" s="39"/>
      <c r="AA15" s="39"/>
      <c r="AB15" s="39"/>
      <c r="AC15" s="40"/>
      <c r="AD15" s="39"/>
      <c r="AE15" s="39"/>
      <c r="AF15" s="39"/>
      <c r="AG15" s="39"/>
      <c r="AH15" s="40"/>
      <c r="AI15" s="39"/>
      <c r="AJ15" s="39"/>
      <c r="AK15" s="39"/>
      <c r="AL15" s="39"/>
      <c r="AM15" s="40"/>
      <c r="AN15" s="39"/>
      <c r="AO15" s="39"/>
      <c r="AP15" s="39"/>
      <c r="AQ15" s="39"/>
    </row>
    <row r="16" spans="1:43" ht="21.75" customHeight="1">
      <c r="A16" s="51" t="s">
        <v>142</v>
      </c>
      <c r="B16" s="52" t="s">
        <v>137</v>
      </c>
      <c r="C16" s="53" t="s">
        <v>143</v>
      </c>
      <c r="D16" s="44" t="s">
        <v>45</v>
      </c>
      <c r="E16" s="45" t="s">
        <v>126</v>
      </c>
      <c r="F16" s="45" t="s">
        <v>130</v>
      </c>
      <c r="G16" s="44">
        <v>5</v>
      </c>
      <c r="H16" s="49" t="s">
        <v>32</v>
      </c>
      <c r="I16" s="39"/>
      <c r="J16" s="39"/>
      <c r="K16" s="39"/>
      <c r="L16" s="39"/>
      <c r="M16" s="39"/>
      <c r="N16" s="40"/>
      <c r="O16" s="39"/>
      <c r="P16" s="39"/>
      <c r="Q16" s="55"/>
      <c r="R16" s="55"/>
      <c r="S16" s="54"/>
      <c r="T16" s="39"/>
      <c r="U16" s="39"/>
      <c r="V16" s="39"/>
      <c r="W16" s="39"/>
      <c r="X16" s="40"/>
      <c r="Y16" s="39"/>
      <c r="Z16" s="39"/>
      <c r="AA16" s="39"/>
      <c r="AB16" s="39"/>
      <c r="AC16" s="40"/>
      <c r="AD16" s="39"/>
      <c r="AE16" s="39"/>
      <c r="AF16" s="39"/>
      <c r="AG16" s="39"/>
      <c r="AH16" s="40"/>
      <c r="AI16" s="39"/>
      <c r="AJ16" s="39"/>
      <c r="AK16" s="39"/>
      <c r="AL16" s="39"/>
      <c r="AM16" s="40"/>
      <c r="AN16" s="39"/>
      <c r="AO16" s="39"/>
      <c r="AP16" s="39"/>
      <c r="AQ16" s="39"/>
    </row>
    <row r="17" spans="1:43" ht="21.75" customHeight="1">
      <c r="A17" s="56" t="s">
        <v>144</v>
      </c>
      <c r="B17" s="57" t="s">
        <v>137</v>
      </c>
      <c r="C17" s="34" t="s">
        <v>145</v>
      </c>
      <c r="D17" s="35" t="s">
        <v>45</v>
      </c>
      <c r="E17" s="36" t="s">
        <v>127</v>
      </c>
      <c r="F17" s="36" t="s">
        <v>131</v>
      </c>
      <c r="G17" s="35">
        <v>3</v>
      </c>
      <c r="H17" s="48" t="s">
        <v>32</v>
      </c>
      <c r="I17" s="39"/>
      <c r="J17" s="39"/>
      <c r="K17" s="39"/>
      <c r="L17" s="39"/>
      <c r="M17" s="39"/>
      <c r="N17" s="40"/>
      <c r="O17" s="39"/>
      <c r="P17" s="39"/>
      <c r="Q17" s="39"/>
      <c r="R17" s="39"/>
      <c r="S17" s="40"/>
      <c r="T17" s="55"/>
      <c r="U17" s="55"/>
      <c r="V17" s="55"/>
      <c r="W17" s="39"/>
      <c r="X17" s="40"/>
      <c r="Y17" s="39"/>
      <c r="Z17" s="39"/>
      <c r="AA17" s="39"/>
      <c r="AB17" s="39"/>
      <c r="AC17" s="40"/>
      <c r="AD17" s="39"/>
      <c r="AE17" s="39"/>
      <c r="AF17" s="39"/>
      <c r="AG17" s="39"/>
      <c r="AH17" s="40"/>
      <c r="AI17" s="39"/>
      <c r="AJ17" s="39"/>
      <c r="AK17" s="39"/>
      <c r="AL17" s="39"/>
      <c r="AM17" s="40"/>
      <c r="AN17" s="39"/>
      <c r="AO17" s="39"/>
      <c r="AP17" s="39"/>
      <c r="AQ17" s="39"/>
    </row>
    <row r="18" spans="1:43" ht="21.75" customHeight="1">
      <c r="A18" s="51" t="s">
        <v>146</v>
      </c>
      <c r="B18" s="52" t="s">
        <v>137</v>
      </c>
      <c r="C18" s="53" t="s">
        <v>147</v>
      </c>
      <c r="D18" s="44" t="s">
        <v>125</v>
      </c>
      <c r="E18" s="45" t="s">
        <v>148</v>
      </c>
      <c r="F18" s="45" t="s">
        <v>134</v>
      </c>
      <c r="G18" s="44">
        <v>3</v>
      </c>
      <c r="H18" s="49" t="s">
        <v>32</v>
      </c>
      <c r="I18" s="39"/>
      <c r="J18" s="39"/>
      <c r="K18" s="39"/>
      <c r="L18" s="39"/>
      <c r="M18" s="39"/>
      <c r="N18" s="40"/>
      <c r="O18" s="39"/>
      <c r="P18" s="39"/>
      <c r="Q18" s="39"/>
      <c r="R18" s="39"/>
      <c r="S18" s="40"/>
      <c r="T18" s="39"/>
      <c r="U18" s="55"/>
      <c r="V18" s="55"/>
      <c r="W18" s="55"/>
      <c r="X18" s="40"/>
      <c r="Y18" s="39"/>
      <c r="Z18" s="39"/>
      <c r="AA18" s="39"/>
      <c r="AB18" s="39"/>
      <c r="AC18" s="40"/>
      <c r="AD18" s="39"/>
      <c r="AE18" s="39"/>
      <c r="AF18" s="39"/>
      <c r="AG18" s="39"/>
      <c r="AH18" s="40"/>
      <c r="AI18" s="39"/>
      <c r="AJ18" s="39"/>
      <c r="AK18" s="39"/>
      <c r="AL18" s="39"/>
      <c r="AM18" s="40"/>
      <c r="AN18" s="39"/>
      <c r="AO18" s="39"/>
      <c r="AP18" s="39"/>
      <c r="AQ18" s="39"/>
    </row>
    <row r="19" spans="1:43" ht="21.75" customHeight="1">
      <c r="A19" s="58" t="s">
        <v>149</v>
      </c>
      <c r="B19" s="58" t="s">
        <v>150</v>
      </c>
      <c r="C19" s="50" t="s">
        <v>151</v>
      </c>
      <c r="D19" s="35" t="s">
        <v>106</v>
      </c>
      <c r="E19" s="36" t="s">
        <v>107</v>
      </c>
      <c r="F19" s="36" t="s">
        <v>112</v>
      </c>
      <c r="G19" s="35">
        <v>3</v>
      </c>
      <c r="H19" s="37" t="s">
        <v>109</v>
      </c>
      <c r="I19" s="59"/>
      <c r="J19" s="59"/>
      <c r="K19" s="59"/>
      <c r="L19" s="39"/>
      <c r="M19" s="39"/>
      <c r="N19" s="40"/>
      <c r="O19" s="39"/>
      <c r="P19" s="39"/>
      <c r="Q19" s="39"/>
      <c r="R19" s="39"/>
      <c r="S19" s="40"/>
      <c r="T19" s="39"/>
      <c r="U19" s="39"/>
      <c r="V19" s="39"/>
      <c r="W19" s="39"/>
      <c r="X19" s="40"/>
      <c r="Y19" s="39"/>
      <c r="Z19" s="39"/>
      <c r="AA19" s="39"/>
      <c r="AB19" s="39"/>
      <c r="AC19" s="40"/>
      <c r="AD19" s="39"/>
      <c r="AE19" s="39"/>
      <c r="AF19" s="39"/>
      <c r="AG19" s="39"/>
      <c r="AH19" s="40"/>
      <c r="AI19" s="39"/>
      <c r="AJ19" s="39"/>
      <c r="AK19" s="39"/>
      <c r="AL19" s="39"/>
      <c r="AM19" s="40"/>
      <c r="AN19" s="39"/>
      <c r="AO19" s="39"/>
      <c r="AP19" s="39"/>
      <c r="AQ19" s="39"/>
    </row>
    <row r="20" spans="1:43" ht="21.75" customHeight="1">
      <c r="A20" s="60" t="s">
        <v>152</v>
      </c>
      <c r="B20" s="60" t="s">
        <v>150</v>
      </c>
      <c r="C20" s="53" t="s">
        <v>153</v>
      </c>
      <c r="D20" s="44" t="s">
        <v>121</v>
      </c>
      <c r="E20" s="45" t="s">
        <v>154</v>
      </c>
      <c r="F20" s="45" t="s">
        <v>155</v>
      </c>
      <c r="G20" s="44">
        <v>2</v>
      </c>
      <c r="H20" s="37" t="s">
        <v>109</v>
      </c>
      <c r="I20" s="39"/>
      <c r="J20" s="39"/>
      <c r="K20" s="39"/>
      <c r="L20" s="59"/>
      <c r="M20" s="59"/>
      <c r="N20" s="40"/>
      <c r="O20" s="39"/>
      <c r="P20" s="39"/>
      <c r="Q20" s="39"/>
      <c r="R20" s="39"/>
      <c r="S20" s="40"/>
      <c r="T20" s="39"/>
      <c r="U20" s="39"/>
      <c r="V20" s="39"/>
      <c r="W20" s="39"/>
      <c r="X20" s="40"/>
      <c r="Y20" s="39"/>
      <c r="Z20" s="39"/>
      <c r="AA20" s="39"/>
      <c r="AB20" s="39"/>
      <c r="AC20" s="40"/>
      <c r="AD20" s="39"/>
      <c r="AE20" s="39"/>
      <c r="AF20" s="39"/>
      <c r="AG20" s="39"/>
      <c r="AH20" s="40"/>
      <c r="AI20" s="39"/>
      <c r="AJ20" s="39"/>
      <c r="AK20" s="39"/>
      <c r="AL20" s="39"/>
      <c r="AM20" s="40"/>
      <c r="AN20" s="39"/>
      <c r="AO20" s="39"/>
      <c r="AP20" s="39"/>
      <c r="AQ20" s="39"/>
    </row>
    <row r="21" spans="1:43" ht="21.75" customHeight="1">
      <c r="A21" s="61" t="s">
        <v>156</v>
      </c>
      <c r="B21" s="62" t="s">
        <v>157</v>
      </c>
      <c r="C21" s="50" t="s">
        <v>158</v>
      </c>
      <c r="D21" s="35" t="s">
        <v>106</v>
      </c>
      <c r="E21" s="36" t="s">
        <v>159</v>
      </c>
      <c r="F21" s="36" t="s">
        <v>160</v>
      </c>
      <c r="G21" s="35">
        <v>2</v>
      </c>
      <c r="H21" s="48" t="s">
        <v>32</v>
      </c>
      <c r="I21" s="39"/>
      <c r="J21" s="39"/>
      <c r="K21" s="39"/>
      <c r="L21" s="39"/>
      <c r="M21" s="39"/>
      <c r="N21" s="40"/>
      <c r="O21" s="39"/>
      <c r="P21" s="39"/>
      <c r="Q21" s="39"/>
      <c r="R21" s="39"/>
      <c r="S21" s="40"/>
      <c r="T21" s="39"/>
      <c r="U21" s="39"/>
      <c r="V21" s="39"/>
      <c r="W21" s="39"/>
      <c r="X21" s="40"/>
      <c r="Y21" s="39"/>
      <c r="Z21" s="39"/>
      <c r="AA21" s="39"/>
      <c r="AB21" s="39"/>
      <c r="AC21" s="40"/>
      <c r="AD21" s="39"/>
      <c r="AE21" s="39"/>
      <c r="AF21" s="39"/>
      <c r="AG21" s="39"/>
      <c r="AH21" s="63"/>
      <c r="AI21" s="64"/>
      <c r="AJ21" s="39"/>
      <c r="AK21" s="39"/>
      <c r="AL21" s="39"/>
      <c r="AM21" s="40"/>
      <c r="AN21" s="39"/>
      <c r="AO21" s="39"/>
      <c r="AP21" s="39"/>
      <c r="AQ21" s="39"/>
    </row>
    <row r="22" spans="1:43" ht="21.75" customHeight="1">
      <c r="A22" s="65" t="s">
        <v>161</v>
      </c>
      <c r="B22" s="66" t="s">
        <v>157</v>
      </c>
      <c r="C22" s="53" t="s">
        <v>162</v>
      </c>
      <c r="D22" s="44" t="s">
        <v>163</v>
      </c>
      <c r="E22" s="45" t="s">
        <v>164</v>
      </c>
      <c r="F22" s="45" t="s">
        <v>165</v>
      </c>
      <c r="G22" s="44">
        <v>6</v>
      </c>
      <c r="H22" s="49" t="s">
        <v>32</v>
      </c>
      <c r="I22" s="39"/>
      <c r="J22" s="39"/>
      <c r="K22" s="39"/>
      <c r="L22" s="39"/>
      <c r="M22" s="39"/>
      <c r="N22" s="40"/>
      <c r="O22" s="39"/>
      <c r="P22" s="39"/>
      <c r="Q22" s="39"/>
      <c r="R22" s="39"/>
      <c r="S22" s="40"/>
      <c r="T22" s="39"/>
      <c r="U22" s="39"/>
      <c r="V22" s="39"/>
      <c r="W22" s="39"/>
      <c r="X22" s="40"/>
      <c r="Y22" s="39"/>
      <c r="Z22" s="39"/>
      <c r="AA22" s="39"/>
      <c r="AB22" s="39"/>
      <c r="AC22" s="40"/>
      <c r="AD22" s="39"/>
      <c r="AE22" s="39"/>
      <c r="AF22" s="39"/>
      <c r="AG22" s="39"/>
      <c r="AH22" s="40"/>
      <c r="AI22" s="39"/>
      <c r="AJ22" s="39"/>
      <c r="AK22" s="64"/>
      <c r="AL22" s="64"/>
      <c r="AM22" s="63"/>
      <c r="AN22" s="64"/>
      <c r="AO22" s="39"/>
      <c r="AP22" s="39"/>
      <c r="AQ22" s="39"/>
    </row>
    <row r="23" spans="1:43" ht="21.75" customHeight="1">
      <c r="A23" s="61" t="s">
        <v>166</v>
      </c>
      <c r="B23" s="62" t="s">
        <v>157</v>
      </c>
      <c r="C23" s="34" t="s">
        <v>167</v>
      </c>
      <c r="D23" s="35" t="s">
        <v>45</v>
      </c>
      <c r="E23" s="36" t="s">
        <v>168</v>
      </c>
      <c r="F23" s="36" t="s">
        <v>169</v>
      </c>
      <c r="G23" s="35">
        <v>3</v>
      </c>
      <c r="H23" s="48" t="s">
        <v>32</v>
      </c>
      <c r="I23" s="39"/>
      <c r="J23" s="39"/>
      <c r="K23" s="39"/>
      <c r="L23" s="39"/>
      <c r="M23" s="39"/>
      <c r="N23" s="40"/>
      <c r="O23" s="39"/>
      <c r="P23" s="39"/>
      <c r="Q23" s="39"/>
      <c r="R23" s="39"/>
      <c r="S23" s="40"/>
      <c r="T23" s="39"/>
      <c r="U23" s="39"/>
      <c r="V23" s="39"/>
      <c r="W23" s="39"/>
      <c r="X23" s="40"/>
      <c r="Y23" s="39"/>
      <c r="Z23" s="39"/>
      <c r="AA23" s="39"/>
      <c r="AB23" s="39"/>
      <c r="AC23" s="40"/>
      <c r="AD23" s="39"/>
      <c r="AE23" s="39"/>
      <c r="AF23" s="39"/>
      <c r="AG23" s="39"/>
      <c r="AH23" s="40"/>
      <c r="AI23" s="39"/>
      <c r="AJ23" s="39"/>
      <c r="AK23" s="39"/>
      <c r="AL23" s="39"/>
      <c r="AM23" s="63"/>
      <c r="AN23" s="64"/>
      <c r="AO23" s="64"/>
      <c r="AP23" s="39"/>
      <c r="AQ23" s="39"/>
    </row>
    <row r="24" spans="1:43" ht="21.75" customHeight="1">
      <c r="A24" s="41" t="s">
        <v>170</v>
      </c>
      <c r="B24" s="42" t="s">
        <v>23</v>
      </c>
      <c r="C24" s="43" t="s">
        <v>171</v>
      </c>
      <c r="D24" s="44" t="s">
        <v>45</v>
      </c>
      <c r="E24" s="45" t="s">
        <v>172</v>
      </c>
      <c r="F24" s="45" t="s">
        <v>172</v>
      </c>
      <c r="G24" s="44">
        <v>1</v>
      </c>
      <c r="H24" s="49" t="s">
        <v>32</v>
      </c>
      <c r="I24" s="39"/>
      <c r="J24" s="39"/>
      <c r="K24" s="39"/>
      <c r="L24" s="39"/>
      <c r="M24" s="39"/>
      <c r="N24" s="40"/>
      <c r="O24" s="39"/>
      <c r="P24" s="39"/>
      <c r="Q24" s="39"/>
      <c r="R24" s="39"/>
      <c r="S24" s="40"/>
      <c r="T24" s="39"/>
      <c r="U24" s="39"/>
      <c r="V24" s="39"/>
      <c r="W24" s="39"/>
      <c r="X24" s="40"/>
      <c r="Y24" s="39"/>
      <c r="Z24" s="39"/>
      <c r="AA24" s="39"/>
      <c r="AB24" s="39"/>
      <c r="AC24" s="40"/>
      <c r="AD24" s="39"/>
      <c r="AE24" s="39"/>
      <c r="AF24" s="39"/>
      <c r="AG24" s="39"/>
      <c r="AH24" s="40"/>
      <c r="AI24" s="39"/>
      <c r="AJ24" s="39"/>
      <c r="AK24" s="39"/>
      <c r="AL24" s="67" t="s">
        <v>173</v>
      </c>
      <c r="AM24" s="40"/>
      <c r="AN24" s="39"/>
      <c r="AO24" s="39"/>
      <c r="AP24" s="39"/>
      <c r="AQ24" s="39"/>
    </row>
    <row r="25" spans="1:43" ht="21.75" customHeight="1">
      <c r="A25" s="32" t="s">
        <v>174</v>
      </c>
      <c r="B25" s="33" t="s">
        <v>23</v>
      </c>
      <c r="C25" s="50" t="s">
        <v>175</v>
      </c>
      <c r="D25" s="35" t="s">
        <v>45</v>
      </c>
      <c r="E25" s="36" t="s">
        <v>176</v>
      </c>
      <c r="F25" s="36" t="s">
        <v>176</v>
      </c>
      <c r="G25" s="35">
        <v>1</v>
      </c>
      <c r="H25" s="48" t="s">
        <v>32</v>
      </c>
      <c r="I25" s="39"/>
      <c r="J25" s="39"/>
      <c r="K25" s="39"/>
      <c r="L25" s="39"/>
      <c r="M25" s="39"/>
      <c r="N25" s="40"/>
      <c r="O25" s="39"/>
      <c r="P25" s="39"/>
      <c r="Q25" s="39"/>
      <c r="R25" s="39"/>
      <c r="S25" s="40"/>
      <c r="T25" s="39"/>
      <c r="U25" s="39"/>
      <c r="V25" s="39"/>
      <c r="W25" s="39"/>
      <c r="X25" s="40"/>
      <c r="Y25" s="39"/>
      <c r="Z25" s="39"/>
      <c r="AA25" s="39"/>
      <c r="AB25" s="39"/>
      <c r="AC25" s="40"/>
      <c r="AD25" s="39"/>
      <c r="AE25" s="39"/>
      <c r="AF25" s="39"/>
      <c r="AG25" s="39"/>
      <c r="AH25" s="40"/>
      <c r="AI25" s="39"/>
      <c r="AJ25" s="39"/>
      <c r="AK25" s="39"/>
      <c r="AL25" s="39"/>
      <c r="AM25" s="40"/>
      <c r="AN25" s="39"/>
      <c r="AO25" s="39"/>
      <c r="AP25" s="39"/>
      <c r="AQ25" s="67" t="s">
        <v>173</v>
      </c>
    </row>
    <row r="28" spans="1:43" ht="42">
      <c r="A28" s="68" t="s">
        <v>177</v>
      </c>
      <c r="B28" s="38"/>
      <c r="C28" s="69" t="s">
        <v>104</v>
      </c>
      <c r="D28" s="55"/>
      <c r="E28" s="69" t="s">
        <v>137</v>
      </c>
      <c r="F28" s="59"/>
      <c r="G28" s="70" t="s">
        <v>150</v>
      </c>
      <c r="H28" s="64"/>
      <c r="I28" s="69" t="s">
        <v>157</v>
      </c>
      <c r="J28" s="38"/>
      <c r="K28" s="69" t="s">
        <v>178</v>
      </c>
    </row>
    <row r="30" spans="1:43">
      <c r="A30" s="68" t="s">
        <v>60</v>
      </c>
      <c r="B30" s="71" t="s">
        <v>179</v>
      </c>
      <c r="D30" s="72" t="s">
        <v>114</v>
      </c>
      <c r="F30" s="73" t="s">
        <v>32</v>
      </c>
      <c r="H30" s="74" t="s">
        <v>180</v>
      </c>
    </row>
    <row r="32" spans="1:43">
      <c r="A32" s="4" t="s">
        <v>181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18">
    <mergeCell ref="AM4:AQ4"/>
    <mergeCell ref="A32:L32"/>
    <mergeCell ref="N4:R4"/>
    <mergeCell ref="S4:W4"/>
    <mergeCell ref="X4:AB4"/>
    <mergeCell ref="AC4:AG4"/>
    <mergeCell ref="AH4:AL4"/>
    <mergeCell ref="A1:J1"/>
    <mergeCell ref="A2:J2"/>
    <mergeCell ref="A4:A6"/>
    <mergeCell ref="B4:B6"/>
    <mergeCell ref="C4:C6"/>
    <mergeCell ref="D4:D6"/>
    <mergeCell ref="E4:E6"/>
    <mergeCell ref="F4:F6"/>
    <mergeCell ref="G4:G6"/>
    <mergeCell ref="H4:H6"/>
    <mergeCell ref="I4:M4"/>
  </mergeCells>
  <phoneticPr fontId="49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1"/>
  <sheetViews>
    <sheetView zoomScaleNormal="100" workbookViewId="0">
      <selection sqref="A1:E1"/>
    </sheetView>
  </sheetViews>
  <sheetFormatPr baseColWidth="10" defaultColWidth="8.6640625" defaultRowHeight="15"/>
  <cols>
    <col min="1" max="1" width="15" customWidth="1"/>
    <col min="2" max="5" width="14" customWidth="1"/>
  </cols>
  <sheetData>
    <row r="1" spans="1:5" ht="36" customHeight="1">
      <c r="A1" s="3" t="s">
        <v>182</v>
      </c>
      <c r="B1" s="3"/>
      <c r="C1" s="3"/>
      <c r="D1" s="3"/>
      <c r="E1" s="3"/>
    </row>
    <row r="2" spans="1:5">
      <c r="A2" s="10" t="s">
        <v>183</v>
      </c>
      <c r="B2" s="10"/>
      <c r="C2" s="10"/>
      <c r="D2" s="10"/>
      <c r="E2" s="10"/>
    </row>
    <row r="4" spans="1:5" ht="27.75" customHeight="1">
      <c r="A4" s="19" t="s">
        <v>8</v>
      </c>
      <c r="B4" s="19" t="s">
        <v>184</v>
      </c>
      <c r="C4" s="19" t="s">
        <v>185</v>
      </c>
      <c r="D4" s="19" t="s">
        <v>186</v>
      </c>
      <c r="E4" s="19" t="s">
        <v>187</v>
      </c>
    </row>
    <row r="5" spans="1:5" ht="17">
      <c r="A5" s="29" t="s">
        <v>106</v>
      </c>
      <c r="B5" s="23" t="s">
        <v>188</v>
      </c>
      <c r="C5" s="75">
        <f>COUNTIF('2_WBS'!D7:D25,"*홍길동*")</f>
        <v>6</v>
      </c>
      <c r="D5" s="75">
        <f>COUNTIFS('2_WBS'!D7:D25,"*홍길동*",'2_WBS'!H7:H25,"완료")</f>
        <v>2</v>
      </c>
      <c r="E5" s="76">
        <f>IFERROR(D5/C5,0)</f>
        <v>0.33333333333333331</v>
      </c>
    </row>
    <row r="6" spans="1:5" ht="17">
      <c r="A6" s="27" t="s">
        <v>121</v>
      </c>
      <c r="B6" s="26" t="s">
        <v>8</v>
      </c>
      <c r="C6" s="77">
        <f>COUNTIF('2_WBS'!D7:D25,"*김영희*")</f>
        <v>3</v>
      </c>
      <c r="D6" s="77">
        <f>COUNTIFS('2_WBS'!D7:D25,"*김영희*",'2_WBS'!H7:H25,"완료")</f>
        <v>1</v>
      </c>
      <c r="E6" s="78">
        <f>IFERROR(D6/C6,0)</f>
        <v>0.33333333333333331</v>
      </c>
    </row>
    <row r="7" spans="1:5" ht="17">
      <c r="A7" s="29" t="s">
        <v>125</v>
      </c>
      <c r="B7" s="23" t="s">
        <v>8</v>
      </c>
      <c r="C7" s="75">
        <f>COUNTIF('2_WBS'!D7:D25,"*이철수*")</f>
        <v>4</v>
      </c>
      <c r="D7" s="75">
        <f>COUNTIFS('2_WBS'!D7:D25,"*이철수*",'2_WBS'!H7:H25,"완료")</f>
        <v>0</v>
      </c>
      <c r="E7" s="76">
        <f>IFERROR(D7/C7,0)</f>
        <v>0</v>
      </c>
    </row>
    <row r="8" spans="1:5" ht="17">
      <c r="A8" s="27" t="s">
        <v>45</v>
      </c>
      <c r="B8" s="26" t="s">
        <v>189</v>
      </c>
      <c r="C8" s="77">
        <f>COUNTIF('2_WBS'!D7:D25,"*박민지*")</f>
        <v>8</v>
      </c>
      <c r="D8" s="77">
        <f>COUNTIFS('2_WBS'!D7:D25,"*박민지*",'2_WBS'!H7:H25,"완료")</f>
        <v>0</v>
      </c>
      <c r="E8" s="78">
        <f>IFERROR(D8/C8,0)</f>
        <v>0</v>
      </c>
    </row>
    <row r="9" spans="1:5" ht="17">
      <c r="A9" s="19" t="s">
        <v>190</v>
      </c>
      <c r="B9" s="79"/>
      <c r="C9" s="80">
        <f>SUM(C5:C8)</f>
        <v>21</v>
      </c>
      <c r="D9" s="80">
        <f>SUM(D5:D8)</f>
        <v>3</v>
      </c>
      <c r="E9" s="81">
        <f>IFERROR(D9/C9,0)</f>
        <v>0.14285714285714285</v>
      </c>
    </row>
    <row r="12" spans="1:5" ht="18">
      <c r="A12" s="15" t="s">
        <v>191</v>
      </c>
    </row>
    <row r="13" spans="1:5" ht="27.75" customHeight="1">
      <c r="A13" s="19" t="s">
        <v>54</v>
      </c>
      <c r="B13" s="19" t="s">
        <v>192</v>
      </c>
      <c r="C13" s="19" t="s">
        <v>186</v>
      </c>
      <c r="D13" s="19" t="s">
        <v>187</v>
      </c>
    </row>
    <row r="14" spans="1:5" ht="17">
      <c r="A14" s="29" t="s">
        <v>104</v>
      </c>
      <c r="B14" s="20">
        <f>COUNTIF('2_WBS'!B7:B25,"백엔드")</f>
        <v>7</v>
      </c>
      <c r="C14" s="20">
        <f>COUNTIFS('2_WBS'!B7:B25,"백엔드",'2_WBS'!H7:H25,"완료")</f>
        <v>1</v>
      </c>
      <c r="D14" s="82">
        <f>IFERROR(C14/B14,0)</f>
        <v>0.14285714285714285</v>
      </c>
    </row>
    <row r="15" spans="1:5" ht="17">
      <c r="A15" s="83" t="s">
        <v>137</v>
      </c>
      <c r="B15" s="24">
        <f>COUNTIF('2_WBS'!B7:B25,"프론트엔드")</f>
        <v>5</v>
      </c>
      <c r="C15" s="24">
        <f>COUNTIFS('2_WBS'!B7:B25,"프론트엔드",'2_WBS'!H7:H25,"완료")</f>
        <v>0</v>
      </c>
      <c r="D15" s="84">
        <f>IFERROR(C15/B15,0)</f>
        <v>0</v>
      </c>
    </row>
    <row r="16" spans="1:5" ht="18">
      <c r="A16" s="85" t="s">
        <v>150</v>
      </c>
      <c r="B16" s="20">
        <f>COUNTIF('2_WBS'!B7:B25,"DB")</f>
        <v>2</v>
      </c>
      <c r="C16" s="20">
        <f>COUNTIFS('2_WBS'!B7:B25,"DB",'2_WBS'!H7:H25,"완료")</f>
        <v>2</v>
      </c>
      <c r="D16" s="82">
        <f>IFERROR(C16/B16,0)</f>
        <v>1</v>
      </c>
    </row>
    <row r="17" spans="1:5" ht="17">
      <c r="A17" s="86" t="s">
        <v>157</v>
      </c>
      <c r="B17" s="24">
        <f>COUNTIF('2_WBS'!B7:B25,"문서")</f>
        <v>3</v>
      </c>
      <c r="C17" s="24">
        <f>COUNTIFS('2_WBS'!B7:B25,"문서",'2_WBS'!H7:H25,"완료")</f>
        <v>0</v>
      </c>
      <c r="D17" s="84">
        <f>IFERROR(C17/B17,0)</f>
        <v>0</v>
      </c>
    </row>
    <row r="18" spans="1:5" ht="17">
      <c r="A18" s="29" t="s">
        <v>23</v>
      </c>
      <c r="B18" s="20">
        <f>COUNTIF('2_WBS'!B7:B25,"마일스톤")</f>
        <v>2</v>
      </c>
      <c r="C18" s="20">
        <f>COUNTIFS('2_WBS'!B7:B25,"마일스톤",'2_WBS'!H7:H25,"완료")</f>
        <v>0</v>
      </c>
      <c r="D18" s="82">
        <f>IFERROR(C18/B18,0)</f>
        <v>0</v>
      </c>
    </row>
    <row r="21" spans="1:5">
      <c r="A21" s="2" t="s">
        <v>193</v>
      </c>
      <c r="B21" s="2"/>
      <c r="C21" s="2"/>
      <c r="D21" s="2"/>
      <c r="E21" s="2"/>
    </row>
  </sheetData>
  <mergeCells count="3">
    <mergeCell ref="A1:E1"/>
    <mergeCell ref="A2:E2"/>
    <mergeCell ref="A21:E21"/>
  </mergeCells>
  <phoneticPr fontId="49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"/>
  <sheetViews>
    <sheetView zoomScaleNormal="100" workbookViewId="0">
      <selection sqref="A1:F1"/>
    </sheetView>
  </sheetViews>
  <sheetFormatPr baseColWidth="10" defaultColWidth="8.6640625" defaultRowHeight="15"/>
  <cols>
    <col min="1" max="1" width="10" customWidth="1"/>
    <col min="2" max="2" width="34" customWidth="1"/>
    <col min="3" max="3" width="14" customWidth="1"/>
    <col min="4" max="4" width="12" customWidth="1"/>
    <col min="5" max="5" width="48" customWidth="1"/>
    <col min="6" max="6" width="14" customWidth="1"/>
  </cols>
  <sheetData>
    <row r="1" spans="1:6" ht="36" customHeight="1">
      <c r="A1" s="3" t="s">
        <v>194</v>
      </c>
      <c r="B1" s="3"/>
      <c r="C1" s="3"/>
      <c r="D1" s="3"/>
      <c r="E1" s="3"/>
      <c r="F1" s="3"/>
    </row>
    <row r="2" spans="1:6">
      <c r="A2" s="2" t="s">
        <v>195</v>
      </c>
      <c r="B2" s="2"/>
      <c r="C2" s="2"/>
      <c r="D2" s="2"/>
      <c r="E2" s="2"/>
      <c r="F2" s="2"/>
    </row>
    <row r="4" spans="1:6" ht="27.75" customHeight="1">
      <c r="A4" s="87" t="s">
        <v>53</v>
      </c>
      <c r="B4" s="19" t="s">
        <v>196</v>
      </c>
      <c r="C4" s="19" t="s">
        <v>197</v>
      </c>
      <c r="D4" s="19" t="s">
        <v>198</v>
      </c>
      <c r="E4" s="19" t="s">
        <v>199</v>
      </c>
      <c r="F4" s="19" t="s">
        <v>60</v>
      </c>
    </row>
    <row r="5" spans="1:6" ht="36" customHeight="1">
      <c r="A5" s="88" t="s">
        <v>200</v>
      </c>
      <c r="B5" s="89" t="s">
        <v>201</v>
      </c>
      <c r="C5" s="90" t="s">
        <v>202</v>
      </c>
      <c r="D5" s="90" t="s">
        <v>202</v>
      </c>
      <c r="E5" s="89" t="s">
        <v>203</v>
      </c>
      <c r="F5" s="91" t="s">
        <v>204</v>
      </c>
    </row>
    <row r="6" spans="1:6" ht="36" customHeight="1">
      <c r="A6" s="92" t="s">
        <v>205</v>
      </c>
      <c r="B6" s="93" t="s">
        <v>206</v>
      </c>
      <c r="C6" s="94" t="s">
        <v>202</v>
      </c>
      <c r="D6" s="95" t="s">
        <v>207</v>
      </c>
      <c r="E6" s="93" t="s">
        <v>208</v>
      </c>
      <c r="F6" s="96" t="s">
        <v>204</v>
      </c>
    </row>
    <row r="7" spans="1:6" ht="36" customHeight="1">
      <c r="A7" s="88" t="s">
        <v>209</v>
      </c>
      <c r="B7" s="89" t="s">
        <v>210</v>
      </c>
      <c r="C7" s="97" t="s">
        <v>207</v>
      </c>
      <c r="D7" s="97" t="s">
        <v>207</v>
      </c>
      <c r="E7" s="98" t="s">
        <v>211</v>
      </c>
      <c r="F7" s="91" t="s">
        <v>204</v>
      </c>
    </row>
    <row r="8" spans="1:6" ht="36" customHeight="1">
      <c r="A8" s="92" t="s">
        <v>212</v>
      </c>
      <c r="B8" s="99" t="s">
        <v>213</v>
      </c>
      <c r="C8" s="94" t="s">
        <v>202</v>
      </c>
      <c r="D8" s="95" t="s">
        <v>207</v>
      </c>
      <c r="E8" s="93" t="s">
        <v>214</v>
      </c>
      <c r="F8" s="96" t="s">
        <v>204</v>
      </c>
    </row>
    <row r="9" spans="1:6" ht="36" customHeight="1">
      <c r="A9" s="88" t="s">
        <v>215</v>
      </c>
      <c r="B9" s="98" t="s">
        <v>216</v>
      </c>
      <c r="C9" s="90" t="s">
        <v>202</v>
      </c>
      <c r="D9" s="90" t="s">
        <v>202</v>
      </c>
      <c r="E9" s="89" t="s">
        <v>217</v>
      </c>
      <c r="F9" s="91" t="s">
        <v>204</v>
      </c>
    </row>
    <row r="10" spans="1:6" ht="36" customHeight="1">
      <c r="A10" s="92" t="s">
        <v>218</v>
      </c>
      <c r="B10" s="99" t="s">
        <v>219</v>
      </c>
      <c r="C10" s="100" t="s">
        <v>220</v>
      </c>
      <c r="D10" s="95" t="s">
        <v>207</v>
      </c>
      <c r="E10" s="99" t="s">
        <v>221</v>
      </c>
      <c r="F10" s="96" t="s">
        <v>204</v>
      </c>
    </row>
  </sheetData>
  <mergeCells count="2">
    <mergeCell ref="A1:F1"/>
    <mergeCell ref="A2:F2"/>
  </mergeCells>
  <phoneticPr fontId="49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35"/>
  <sheetViews>
    <sheetView zoomScaleNormal="100" workbookViewId="0">
      <selection sqref="A1:D1"/>
    </sheetView>
  </sheetViews>
  <sheetFormatPr baseColWidth="10" defaultColWidth="8.6640625" defaultRowHeight="15"/>
  <cols>
    <col min="1" max="1" width="12" customWidth="1"/>
    <col min="2" max="2" width="22" customWidth="1"/>
    <col min="3" max="3" width="60" customWidth="1"/>
  </cols>
  <sheetData>
    <row r="1" spans="1:4" ht="36" customHeight="1">
      <c r="A1" s="3" t="s">
        <v>222</v>
      </c>
      <c r="B1" s="3"/>
      <c r="C1" s="3"/>
      <c r="D1" s="3"/>
    </row>
    <row r="3" spans="1:4" ht="27.75" customHeight="1">
      <c r="A3" s="19" t="s">
        <v>54</v>
      </c>
      <c r="B3" s="19" t="s">
        <v>223</v>
      </c>
      <c r="C3" s="19" t="s">
        <v>224</v>
      </c>
    </row>
    <row r="4" spans="1:4" ht="31.5" customHeight="1">
      <c r="A4" s="101" t="s">
        <v>225</v>
      </c>
      <c r="B4" s="16" t="s">
        <v>226</v>
      </c>
      <c r="C4" s="102" t="s">
        <v>227</v>
      </c>
    </row>
    <row r="5" spans="1:4" ht="31.5" customHeight="1">
      <c r="A5" s="83" t="s">
        <v>225</v>
      </c>
      <c r="B5" s="103" t="s">
        <v>228</v>
      </c>
      <c r="C5" s="17" t="s">
        <v>229</v>
      </c>
    </row>
    <row r="6" spans="1:4" ht="31.5" customHeight="1">
      <c r="A6" s="101" t="s">
        <v>225</v>
      </c>
      <c r="B6" s="16" t="s">
        <v>230</v>
      </c>
      <c r="C6" s="102" t="s">
        <v>231</v>
      </c>
    </row>
    <row r="7" spans="1:4" ht="31.5" customHeight="1">
      <c r="A7" s="83" t="s">
        <v>225</v>
      </c>
      <c r="B7" s="103" t="s">
        <v>232</v>
      </c>
      <c r="C7" s="17" t="s">
        <v>233</v>
      </c>
    </row>
    <row r="8" spans="1:4" ht="7.5" customHeight="1">
      <c r="A8" s="104"/>
      <c r="B8" s="104"/>
      <c r="C8" s="104"/>
    </row>
    <row r="9" spans="1:4" ht="31.5" customHeight="1">
      <c r="A9" s="105" t="s">
        <v>234</v>
      </c>
      <c r="B9" s="103" t="s">
        <v>235</v>
      </c>
      <c r="C9" s="17" t="s">
        <v>236</v>
      </c>
    </row>
    <row r="10" spans="1:4" ht="31.5" customHeight="1">
      <c r="A10" s="106" t="s">
        <v>234</v>
      </c>
      <c r="B10" s="16" t="s">
        <v>237</v>
      </c>
      <c r="C10" s="102" t="s">
        <v>238</v>
      </c>
    </row>
    <row r="11" spans="1:4" ht="31.5" customHeight="1">
      <c r="A11" s="105" t="s">
        <v>234</v>
      </c>
      <c r="B11" s="107" t="s">
        <v>239</v>
      </c>
      <c r="C11" s="28" t="s">
        <v>240</v>
      </c>
    </row>
    <row r="12" spans="1:4" ht="31.5" customHeight="1">
      <c r="A12" s="106" t="s">
        <v>234</v>
      </c>
      <c r="B12" s="16" t="s">
        <v>241</v>
      </c>
      <c r="C12" s="102" t="s">
        <v>242</v>
      </c>
    </row>
    <row r="13" spans="1:4" ht="7.5" customHeight="1">
      <c r="A13" s="104"/>
      <c r="B13" s="104"/>
      <c r="C13" s="104"/>
    </row>
    <row r="14" spans="1:4" ht="31.5" customHeight="1">
      <c r="A14" s="108" t="s">
        <v>243</v>
      </c>
      <c r="B14" s="16" t="s">
        <v>244</v>
      </c>
      <c r="C14" s="102" t="s">
        <v>245</v>
      </c>
    </row>
    <row r="15" spans="1:4" ht="31.5" customHeight="1">
      <c r="A15" s="109" t="s">
        <v>243</v>
      </c>
      <c r="B15" s="103" t="s">
        <v>246</v>
      </c>
      <c r="C15" s="28" t="s">
        <v>247</v>
      </c>
    </row>
    <row r="16" spans="1:4" ht="31.5" customHeight="1">
      <c r="A16" s="108" t="s">
        <v>243</v>
      </c>
      <c r="B16" s="16" t="s">
        <v>248</v>
      </c>
      <c r="C16" s="102" t="s">
        <v>249</v>
      </c>
    </row>
    <row r="17" spans="1:3" ht="31.5" customHeight="1">
      <c r="A17" s="109" t="s">
        <v>243</v>
      </c>
      <c r="B17" s="103" t="s">
        <v>250</v>
      </c>
      <c r="C17" s="28" t="s">
        <v>251</v>
      </c>
    </row>
    <row r="18" spans="1:3" ht="7.5" customHeight="1">
      <c r="A18" s="104"/>
      <c r="B18" s="104"/>
      <c r="C18" s="104"/>
    </row>
    <row r="19" spans="1:3" ht="31.5" customHeight="1">
      <c r="A19" s="27" t="s">
        <v>157</v>
      </c>
      <c r="B19" s="107" t="s">
        <v>252</v>
      </c>
      <c r="C19" s="28" t="s">
        <v>253</v>
      </c>
    </row>
    <row r="20" spans="1:3" ht="31.5" customHeight="1">
      <c r="A20" s="29" t="s">
        <v>157</v>
      </c>
      <c r="B20" s="16" t="s">
        <v>254</v>
      </c>
      <c r="C20" s="102" t="s">
        <v>255</v>
      </c>
    </row>
    <row r="21" spans="1:3" ht="31.5" customHeight="1">
      <c r="A21" s="27" t="s">
        <v>157</v>
      </c>
      <c r="B21" s="103" t="s">
        <v>256</v>
      </c>
      <c r="C21" s="17" t="s">
        <v>257</v>
      </c>
    </row>
    <row r="25" spans="1:3" ht="18">
      <c r="A25" s="15" t="s">
        <v>258</v>
      </c>
    </row>
    <row r="26" spans="1:3" ht="17">
      <c r="A26" s="1" t="s">
        <v>259</v>
      </c>
      <c r="B26" s="1"/>
      <c r="C26" s="1"/>
    </row>
    <row r="27" spans="1:3" ht="17">
      <c r="A27" s="110" t="s">
        <v>260</v>
      </c>
      <c r="B27" s="110"/>
      <c r="C27" s="110"/>
    </row>
    <row r="28" spans="1:3" ht="17">
      <c r="A28" s="1" t="s">
        <v>261</v>
      </c>
      <c r="B28" s="1"/>
      <c r="C28" s="1"/>
    </row>
    <row r="29" spans="1:3" ht="17">
      <c r="A29" s="1" t="s">
        <v>262</v>
      </c>
      <c r="B29" s="1"/>
      <c r="C29" s="1"/>
    </row>
    <row r="30" spans="1:3" ht="17">
      <c r="A30" s="1" t="s">
        <v>263</v>
      </c>
      <c r="B30" s="1"/>
      <c r="C30" s="1"/>
    </row>
    <row r="31" spans="1:3" ht="17">
      <c r="A31" s="1" t="s">
        <v>264</v>
      </c>
      <c r="B31" s="1"/>
      <c r="C31" s="1"/>
    </row>
    <row r="32" spans="1:3" ht="17">
      <c r="A32" s="1" t="s">
        <v>265</v>
      </c>
      <c r="B32" s="1"/>
      <c r="C32" s="1"/>
    </row>
    <row r="33" spans="1:3" ht="17">
      <c r="A33" s="1" t="s">
        <v>266</v>
      </c>
      <c r="B33" s="1"/>
      <c r="C33" s="1"/>
    </row>
    <row r="34" spans="1:3" ht="17">
      <c r="A34" s="1" t="s">
        <v>267</v>
      </c>
      <c r="B34" s="1"/>
      <c r="C34" s="1"/>
    </row>
    <row r="35" spans="1:3" ht="17">
      <c r="A35" s="110" t="s">
        <v>268</v>
      </c>
      <c r="B35" s="110"/>
      <c r="C35" s="110"/>
    </row>
  </sheetData>
  <mergeCells count="11">
    <mergeCell ref="A35:C35"/>
    <mergeCell ref="A30:C30"/>
    <mergeCell ref="A31:C31"/>
    <mergeCell ref="A32:C32"/>
    <mergeCell ref="A33:C33"/>
    <mergeCell ref="A34:C34"/>
    <mergeCell ref="A1:D1"/>
    <mergeCell ref="A26:C26"/>
    <mergeCell ref="A27:C27"/>
    <mergeCell ref="A28:C28"/>
    <mergeCell ref="A29:C29"/>
  </mergeCells>
  <phoneticPr fontId="49" type="noConversion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1_일정개요</vt:lpstr>
      <vt:lpstr>2_WBS</vt:lpstr>
      <vt:lpstr>3_팀원별_집계</vt:lpstr>
      <vt:lpstr>4_리스크_관리</vt:lpstr>
      <vt:lpstr>5_협업_규칙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이기하(B2242)</cp:lastModifiedBy>
  <cp:revision>0</cp:revision>
  <dcterms:created xsi:type="dcterms:W3CDTF">2026-04-23T14:30:25Z</dcterms:created>
  <dcterms:modified xsi:type="dcterms:W3CDTF">2026-04-23T14:35:02Z</dcterms:modified>
  <dc:language>en-US</dc:language>
</cp:coreProperties>
</file>